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E69115B-987D-4079-B392-5554DAFD3CEE}" xr6:coauthVersionLast="47" xr6:coauthVersionMax="47" xr10:uidLastSave="{00000000-0000-0000-0000-000000000000}"/>
  <bookViews>
    <workbookView xWindow="-120" yWindow="-120" windowWidth="20730" windowHeight="11160" xr2:uid="{DDC0F1BA-F15C-4C50-8CEA-EF16A677FEE9}"/>
  </bookViews>
  <sheets>
    <sheet name="COOLKIDS" sheetId="1" r:id="rId1"/>
    <sheet name="NOMINA" sheetId="6" r:id="rId2"/>
    <sheet name="NORI" sheetId="5" r:id="rId3"/>
    <sheet name="IMPERIUM" sheetId="4" r:id="rId4"/>
    <sheet name="FACTURAS" sheetId="3" r:id="rId5"/>
    <sheet name="FORBEIBI" sheetId="7" r:id="rId6"/>
  </sheets>
  <definedNames>
    <definedName name="_xlnm._FilterDatabase" localSheetId="0" hidden="1">COOLKIDS!$A$200:$E$206</definedName>
    <definedName name="_xlnm._FilterDatabase" localSheetId="3" hidden="1">IMPERIUM!$A$95:$E$106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2" i="3" l="1"/>
  <c r="G221" i="3"/>
  <c r="G222" i="3"/>
  <c r="D2032" i="1"/>
  <c r="D2031" i="1"/>
  <c r="D2030" i="1"/>
  <c r="D2029" i="1"/>
  <c r="G2028" i="1"/>
  <c r="D2028" i="1"/>
  <c r="D2027" i="1"/>
  <c r="D2026" i="1"/>
  <c r="D2025" i="1"/>
  <c r="D2024" i="1"/>
  <c r="G2022" i="1"/>
  <c r="D1989" i="1"/>
  <c r="D1988" i="1"/>
  <c r="D1987" i="1"/>
  <c r="D1986" i="1"/>
  <c r="G1985" i="1"/>
  <c r="D1985" i="1"/>
  <c r="D1984" i="1"/>
  <c r="D1983" i="1"/>
  <c r="D1982" i="1"/>
  <c r="D1981" i="1"/>
  <c r="G1979" i="1"/>
  <c r="D1946" i="1"/>
  <c r="D1945" i="1"/>
  <c r="D1944" i="1"/>
  <c r="D1943" i="1"/>
  <c r="G1942" i="1"/>
  <c r="D1942" i="1"/>
  <c r="D1941" i="1"/>
  <c r="D1940" i="1"/>
  <c r="D1939" i="1"/>
  <c r="D1938" i="1"/>
  <c r="G1936" i="1"/>
  <c r="D1903" i="1"/>
  <c r="D1902" i="1"/>
  <c r="D1901" i="1"/>
  <c r="D1900" i="1"/>
  <c r="G1899" i="1"/>
  <c r="D1899" i="1"/>
  <c r="D1898" i="1"/>
  <c r="D1897" i="1"/>
  <c r="D1896" i="1"/>
  <c r="D1895" i="1"/>
  <c r="G1893" i="1"/>
  <c r="D1860" i="1"/>
  <c r="D1859" i="1"/>
  <c r="D1858" i="1"/>
  <c r="D1857" i="1"/>
  <c r="G1856" i="1"/>
  <c r="D1856" i="1"/>
  <c r="D1855" i="1"/>
  <c r="D1854" i="1"/>
  <c r="D1853" i="1"/>
  <c r="D1852" i="1"/>
  <c r="G1850" i="1"/>
  <c r="G224" i="3"/>
  <c r="G225" i="3"/>
  <c r="G226" i="3"/>
  <c r="G227" i="3"/>
  <c r="G231" i="3" s="1"/>
  <c r="G228" i="3"/>
  <c r="G229" i="3"/>
  <c r="G223" i="3"/>
  <c r="D1731" i="1"/>
  <c r="D1644" i="1"/>
  <c r="G148" i="3"/>
  <c r="G149" i="3"/>
  <c r="G207" i="3"/>
  <c r="G208" i="3"/>
  <c r="G209" i="3"/>
  <c r="G213" i="3"/>
  <c r="G214" i="3"/>
  <c r="G216" i="3"/>
  <c r="D1187" i="4"/>
  <c r="D1186" i="4"/>
  <c r="D1185" i="4"/>
  <c r="D1184" i="4"/>
  <c r="G1183" i="4"/>
  <c r="D1183" i="4"/>
  <c r="D1182" i="4"/>
  <c r="D1181" i="4"/>
  <c r="D1180" i="4"/>
  <c r="D1179" i="4"/>
  <c r="G1177" i="4"/>
  <c r="D1142" i="4"/>
  <c r="D1141" i="4"/>
  <c r="D1140" i="4"/>
  <c r="D1139" i="4"/>
  <c r="G1138" i="4"/>
  <c r="D1138" i="4"/>
  <c r="D1137" i="4"/>
  <c r="D1136" i="4"/>
  <c r="D1135" i="4"/>
  <c r="D1134" i="4"/>
  <c r="G1132" i="4"/>
  <c r="D1098" i="4"/>
  <c r="D1097" i="4"/>
  <c r="D1096" i="4"/>
  <c r="D1095" i="4"/>
  <c r="G1094" i="4"/>
  <c r="D1094" i="4"/>
  <c r="D1093" i="4"/>
  <c r="D1092" i="4"/>
  <c r="D1091" i="4"/>
  <c r="D1090" i="4"/>
  <c r="G1088" i="4"/>
  <c r="D1054" i="4"/>
  <c r="D1053" i="4"/>
  <c r="D1052" i="4"/>
  <c r="D1051" i="4"/>
  <c r="G1050" i="4"/>
  <c r="D1050" i="4"/>
  <c r="D1049" i="4"/>
  <c r="D1048" i="4"/>
  <c r="D1047" i="4"/>
  <c r="D1046" i="4"/>
  <c r="G1044" i="4"/>
  <c r="D1010" i="4"/>
  <c r="D1009" i="4"/>
  <c r="D1008" i="4"/>
  <c r="D1007" i="4"/>
  <c r="G1006" i="4"/>
  <c r="D1006" i="4"/>
  <c r="D1005" i="4"/>
  <c r="D1004" i="4"/>
  <c r="D1003" i="4"/>
  <c r="D1002" i="4"/>
  <c r="G1000" i="4"/>
  <c r="D966" i="4"/>
  <c r="D965" i="4"/>
  <c r="D964" i="4"/>
  <c r="D963" i="4"/>
  <c r="G962" i="4"/>
  <c r="D962" i="4"/>
  <c r="D961" i="4"/>
  <c r="D960" i="4"/>
  <c r="D959" i="4"/>
  <c r="D958" i="4"/>
  <c r="G956" i="4"/>
  <c r="D922" i="4"/>
  <c r="D921" i="4"/>
  <c r="D920" i="4"/>
  <c r="D919" i="4"/>
  <c r="G918" i="4"/>
  <c r="D918" i="4"/>
  <c r="D917" i="4"/>
  <c r="D916" i="4"/>
  <c r="D915" i="4"/>
  <c r="D914" i="4"/>
  <c r="G912" i="4"/>
  <c r="D878" i="4"/>
  <c r="D877" i="4"/>
  <c r="D876" i="4"/>
  <c r="D875" i="4"/>
  <c r="G874" i="4"/>
  <c r="D874" i="4"/>
  <c r="D873" i="4"/>
  <c r="D872" i="4"/>
  <c r="D871" i="4"/>
  <c r="D870" i="4"/>
  <c r="G868" i="4"/>
  <c r="D834" i="4"/>
  <c r="D833" i="4"/>
  <c r="D832" i="4"/>
  <c r="D831" i="4"/>
  <c r="G830" i="4"/>
  <c r="D830" i="4"/>
  <c r="D829" i="4"/>
  <c r="D828" i="4"/>
  <c r="D827" i="4"/>
  <c r="D826" i="4"/>
  <c r="G824" i="4"/>
  <c r="D1371" i="1"/>
  <c r="D1819" i="1"/>
  <c r="D1818" i="1"/>
  <c r="D1817" i="1"/>
  <c r="D1816" i="1"/>
  <c r="G1815" i="1"/>
  <c r="D1815" i="1"/>
  <c r="D1814" i="1"/>
  <c r="D1813" i="1"/>
  <c r="D1812" i="1"/>
  <c r="D1811" i="1"/>
  <c r="G1809" i="1"/>
  <c r="D1774" i="1"/>
  <c r="D1773" i="1"/>
  <c r="D1772" i="1"/>
  <c r="D1771" i="1"/>
  <c r="G1770" i="1"/>
  <c r="D1770" i="1"/>
  <c r="D1769" i="1"/>
  <c r="D1768" i="1"/>
  <c r="D1767" i="1"/>
  <c r="D1766" i="1"/>
  <c r="G1764" i="1"/>
  <c r="D1730" i="1"/>
  <c r="D1729" i="1"/>
  <c r="D1728" i="1"/>
  <c r="D1727" i="1"/>
  <c r="G1726" i="1"/>
  <c r="D1726" i="1"/>
  <c r="D1725" i="1"/>
  <c r="D1724" i="1"/>
  <c r="D1723" i="1"/>
  <c r="D1722" i="1"/>
  <c r="G1720" i="1"/>
  <c r="D1687" i="1"/>
  <c r="D1686" i="1"/>
  <c r="D1685" i="1"/>
  <c r="D1684" i="1"/>
  <c r="G1683" i="1"/>
  <c r="D1683" i="1"/>
  <c r="D1682" i="1"/>
  <c r="D1681" i="1"/>
  <c r="D1680" i="1"/>
  <c r="D1679" i="1"/>
  <c r="G1677" i="1"/>
  <c r="D1643" i="1"/>
  <c r="D1642" i="1"/>
  <c r="D1641" i="1"/>
  <c r="D1640" i="1"/>
  <c r="G1639" i="1"/>
  <c r="D1639" i="1"/>
  <c r="D1638" i="1"/>
  <c r="D1637" i="1"/>
  <c r="D1636" i="1"/>
  <c r="D1635" i="1"/>
  <c r="G1633" i="1"/>
  <c r="D1599" i="1"/>
  <c r="D1598" i="1"/>
  <c r="D1597" i="1"/>
  <c r="D1596" i="1"/>
  <c r="G1595" i="1"/>
  <c r="D1595" i="1"/>
  <c r="D1594" i="1"/>
  <c r="D1593" i="1"/>
  <c r="D1592" i="1"/>
  <c r="D1591" i="1"/>
  <c r="G1589" i="1"/>
  <c r="D1555" i="1"/>
  <c r="D1554" i="1"/>
  <c r="D1553" i="1"/>
  <c r="D1552" i="1"/>
  <c r="G1551" i="1"/>
  <c r="D1551" i="1"/>
  <c r="D1550" i="1"/>
  <c r="D1549" i="1"/>
  <c r="D1548" i="1"/>
  <c r="D1547" i="1"/>
  <c r="G1545" i="1"/>
  <c r="D1511" i="1"/>
  <c r="D1510" i="1"/>
  <c r="D1509" i="1"/>
  <c r="D1508" i="1"/>
  <c r="G1507" i="1"/>
  <c r="D1507" i="1"/>
  <c r="D1506" i="1"/>
  <c r="D1505" i="1"/>
  <c r="D1504" i="1"/>
  <c r="D1503" i="1"/>
  <c r="G1501" i="1"/>
  <c r="D1467" i="1"/>
  <c r="D1466" i="1"/>
  <c r="D1465" i="1"/>
  <c r="D1464" i="1"/>
  <c r="G1463" i="1"/>
  <c r="D1463" i="1"/>
  <c r="D1462" i="1"/>
  <c r="D1461" i="1"/>
  <c r="D1460" i="1"/>
  <c r="D1459" i="1"/>
  <c r="G1457" i="1"/>
  <c r="D1422" i="1"/>
  <c r="D1421" i="1"/>
  <c r="D1420" i="1"/>
  <c r="D1419" i="1"/>
  <c r="G1418" i="1"/>
  <c r="D1418" i="1"/>
  <c r="D1417" i="1"/>
  <c r="D1416" i="1"/>
  <c r="D1415" i="1"/>
  <c r="D1414" i="1"/>
  <c r="G1412" i="1"/>
  <c r="D1377" i="1"/>
  <c r="D1376" i="1"/>
  <c r="D1375" i="1"/>
  <c r="D1374" i="1"/>
  <c r="G1373" i="1"/>
  <c r="D1373" i="1"/>
  <c r="D1372" i="1"/>
  <c r="D1370" i="1"/>
  <c r="D1369" i="1"/>
  <c r="G1367" i="1"/>
  <c r="D795" i="4"/>
  <c r="D1322" i="1"/>
  <c r="D1323" i="1"/>
  <c r="D793" i="4"/>
  <c r="D794" i="4"/>
  <c r="D789" i="4"/>
  <c r="D790" i="4"/>
  <c r="D791" i="4"/>
  <c r="D792" i="4"/>
  <c r="D782" i="4"/>
  <c r="D783" i="4"/>
  <c r="D784" i="4"/>
  <c r="D785" i="4"/>
  <c r="D786" i="4"/>
  <c r="D787" i="4"/>
  <c r="D788" i="4"/>
  <c r="G785" i="4"/>
  <c r="D781" i="4"/>
  <c r="G779" i="4"/>
  <c r="D250" i="5"/>
  <c r="G186" i="3"/>
  <c r="G189" i="3"/>
  <c r="G190" i="3"/>
  <c r="G191" i="3"/>
  <c r="G192" i="3"/>
  <c r="G194" i="3"/>
  <c r="G195" i="3"/>
  <c r="G169" i="3"/>
  <c r="G170" i="3"/>
  <c r="G171" i="3"/>
  <c r="G172" i="3"/>
  <c r="G174" i="3"/>
  <c r="G175" i="3"/>
  <c r="G176" i="3"/>
  <c r="D691" i="4"/>
  <c r="G1191" i="1"/>
  <c r="G1147" i="1"/>
  <c r="G1103" i="1"/>
  <c r="G1235" i="1"/>
  <c r="G735" i="4"/>
  <c r="D739" i="4"/>
  <c r="D733" i="4"/>
  <c r="D738" i="4"/>
  <c r="D737" i="4"/>
  <c r="D736" i="4"/>
  <c r="D735" i="4"/>
  <c r="D734" i="4"/>
  <c r="D732" i="4"/>
  <c r="D731" i="4"/>
  <c r="G729" i="4"/>
  <c r="G197" i="3"/>
  <c r="G196" i="3"/>
  <c r="G687" i="4"/>
  <c r="D684" i="4"/>
  <c r="D685" i="4"/>
  <c r="D686" i="4"/>
  <c r="D687" i="4"/>
  <c r="D688" i="4"/>
  <c r="D689" i="4"/>
  <c r="D690" i="4"/>
  <c r="D683" i="4"/>
  <c r="G681" i="4"/>
  <c r="D659" i="4"/>
  <c r="G637" i="4" s="1"/>
  <c r="D641" i="4"/>
  <c r="D640" i="4"/>
  <c r="D639" i="4"/>
  <c r="D638" i="4"/>
  <c r="D637" i="4"/>
  <c r="D636" i="4"/>
  <c r="D635" i="4"/>
  <c r="D634" i="4"/>
  <c r="D633" i="4"/>
  <c r="G631" i="4"/>
  <c r="D607" i="4"/>
  <c r="G177" i="3"/>
  <c r="G167" i="3"/>
  <c r="G178" i="3"/>
  <c r="G129" i="3"/>
  <c r="D1327" i="1"/>
  <c r="D1326" i="1"/>
  <c r="D1325" i="1"/>
  <c r="D1324" i="1"/>
  <c r="G1323" i="1"/>
  <c r="D1321" i="1"/>
  <c r="D1320" i="1"/>
  <c r="D1319" i="1"/>
  <c r="G1317" i="1"/>
  <c r="D1283" i="1"/>
  <c r="D1282" i="1"/>
  <c r="D1281" i="1"/>
  <c r="D1280" i="1"/>
  <c r="G1279" i="1"/>
  <c r="D1279" i="1"/>
  <c r="D1278" i="1"/>
  <c r="D1277" i="1"/>
  <c r="D1276" i="1"/>
  <c r="D1275" i="1"/>
  <c r="G1273" i="1"/>
  <c r="D1239" i="1"/>
  <c r="D1238" i="1"/>
  <c r="D1237" i="1"/>
  <c r="D1236" i="1"/>
  <c r="D1235" i="1"/>
  <c r="D1234" i="1"/>
  <c r="D1233" i="1"/>
  <c r="D1232" i="1"/>
  <c r="D1231" i="1"/>
  <c r="G1229" i="1"/>
  <c r="D1195" i="1"/>
  <c r="D1194" i="1"/>
  <c r="D1193" i="1"/>
  <c r="D1192" i="1"/>
  <c r="D1191" i="1"/>
  <c r="D1190" i="1"/>
  <c r="D1189" i="1"/>
  <c r="D1188" i="1"/>
  <c r="D1187" i="1"/>
  <c r="G1185" i="1"/>
  <c r="D1151" i="1"/>
  <c r="D1150" i="1"/>
  <c r="D1149" i="1"/>
  <c r="D1148" i="1"/>
  <c r="D1147" i="1"/>
  <c r="D1146" i="1"/>
  <c r="D1145" i="1"/>
  <c r="D1144" i="1"/>
  <c r="D1143" i="1"/>
  <c r="G1141" i="1"/>
  <c r="D1107" i="1"/>
  <c r="D1106" i="1"/>
  <c r="D1105" i="1"/>
  <c r="D1104" i="1"/>
  <c r="D1103" i="1"/>
  <c r="D1102" i="1"/>
  <c r="D1101" i="1"/>
  <c r="D1100" i="1"/>
  <c r="D1099" i="1"/>
  <c r="G1097" i="1"/>
  <c r="D1063" i="1"/>
  <c r="D1062" i="1"/>
  <c r="D1061" i="1"/>
  <c r="D1060" i="1"/>
  <c r="G1059" i="1"/>
  <c r="D1059" i="1"/>
  <c r="D1058" i="1"/>
  <c r="D1057" i="1"/>
  <c r="D1056" i="1"/>
  <c r="D1055" i="1"/>
  <c r="G1053" i="1"/>
  <c r="D1013" i="1"/>
  <c r="G120" i="3"/>
  <c r="G121" i="3"/>
  <c r="G118" i="3"/>
  <c r="G96" i="3"/>
  <c r="G102" i="3"/>
  <c r="G97" i="3"/>
  <c r="D586" i="4"/>
  <c r="D970" i="1"/>
  <c r="D927" i="1"/>
  <c r="G95" i="3"/>
  <c r="G94" i="3"/>
  <c r="G93" i="3"/>
  <c r="D542" i="4"/>
  <c r="D841" i="1"/>
  <c r="D884" i="1"/>
  <c r="D798" i="1"/>
  <c r="D756" i="1"/>
  <c r="G66" i="3"/>
  <c r="D714" i="1"/>
  <c r="D498" i="4"/>
  <c r="D675" i="1"/>
  <c r="D453" i="4"/>
  <c r="D408" i="4"/>
  <c r="D1021" i="1"/>
  <c r="D1020" i="1"/>
  <c r="D1019" i="1"/>
  <c r="D1018" i="1"/>
  <c r="G1017" i="1"/>
  <c r="D1017" i="1"/>
  <c r="D1016" i="1"/>
  <c r="D1015" i="1"/>
  <c r="D1014" i="1"/>
  <c r="G1011" i="1"/>
  <c r="D978" i="1"/>
  <c r="D977" i="1"/>
  <c r="D976" i="1"/>
  <c r="D975" i="1"/>
  <c r="G974" i="1"/>
  <c r="D974" i="1"/>
  <c r="D973" i="1"/>
  <c r="D972" i="1"/>
  <c r="D971" i="1"/>
  <c r="G968" i="1"/>
  <c r="D935" i="1"/>
  <c r="D934" i="1"/>
  <c r="D933" i="1"/>
  <c r="D932" i="1"/>
  <c r="G931" i="1"/>
  <c r="D931" i="1"/>
  <c r="D930" i="1"/>
  <c r="D929" i="1"/>
  <c r="D928" i="1"/>
  <c r="G925" i="1"/>
  <c r="D892" i="1"/>
  <c r="D891" i="1"/>
  <c r="D890" i="1"/>
  <c r="D889" i="1"/>
  <c r="G888" i="1"/>
  <c r="D888" i="1"/>
  <c r="D887" i="1"/>
  <c r="D886" i="1"/>
  <c r="D885" i="1"/>
  <c r="G882" i="1"/>
  <c r="D849" i="1"/>
  <c r="D848" i="1"/>
  <c r="D847" i="1"/>
  <c r="D846" i="1"/>
  <c r="G845" i="1"/>
  <c r="D845" i="1"/>
  <c r="D844" i="1"/>
  <c r="D843" i="1"/>
  <c r="D842" i="1"/>
  <c r="G839" i="1"/>
  <c r="D806" i="1"/>
  <c r="D805" i="1"/>
  <c r="D804" i="1"/>
  <c r="D803" i="1"/>
  <c r="G802" i="1"/>
  <c r="D802" i="1"/>
  <c r="D801" i="1"/>
  <c r="D800" i="1"/>
  <c r="D799" i="1"/>
  <c r="G796" i="1"/>
  <c r="D764" i="1"/>
  <c r="D763" i="1"/>
  <c r="D762" i="1"/>
  <c r="D761" i="1"/>
  <c r="G760" i="1"/>
  <c r="D760" i="1"/>
  <c r="D759" i="1"/>
  <c r="D758" i="1"/>
  <c r="D757" i="1"/>
  <c r="G754" i="1"/>
  <c r="D722" i="1"/>
  <c r="D721" i="1"/>
  <c r="D720" i="1"/>
  <c r="D719" i="1"/>
  <c r="G718" i="1"/>
  <c r="D718" i="1"/>
  <c r="D717" i="1"/>
  <c r="D716" i="1"/>
  <c r="D715" i="1"/>
  <c r="G712" i="1"/>
  <c r="G67" i="3"/>
  <c r="G77" i="3"/>
  <c r="G159" i="3"/>
  <c r="G158" i="3"/>
  <c r="G157" i="3"/>
  <c r="G155" i="3"/>
  <c r="G154" i="3"/>
  <c r="G153" i="3"/>
  <c r="G152" i="3"/>
  <c r="G151" i="3"/>
  <c r="G150" i="3"/>
  <c r="G138" i="3"/>
  <c r="G137" i="3"/>
  <c r="G136" i="3"/>
  <c r="G135" i="3"/>
  <c r="G134" i="3"/>
  <c r="G133" i="3"/>
  <c r="G132" i="3"/>
  <c r="G131" i="3"/>
  <c r="G130" i="3"/>
  <c r="G122" i="3"/>
  <c r="G119" i="3"/>
  <c r="G117" i="3"/>
  <c r="G116" i="3"/>
  <c r="G115" i="3"/>
  <c r="G114" i="3"/>
  <c r="G113" i="3"/>
  <c r="G111" i="3"/>
  <c r="G110" i="3"/>
  <c r="G104" i="3"/>
  <c r="G103" i="3"/>
  <c r="G101" i="3"/>
  <c r="G100" i="3"/>
  <c r="G99" i="3"/>
  <c r="G98" i="3"/>
  <c r="G83" i="3"/>
  <c r="G82" i="3"/>
  <c r="G81" i="3"/>
  <c r="G80" i="3"/>
  <c r="G79" i="3"/>
  <c r="G78" i="3"/>
  <c r="D666" i="1"/>
  <c r="D365" i="4"/>
  <c r="G218" i="3" l="1"/>
  <c r="G199" i="3"/>
  <c r="G180" i="3"/>
  <c r="G141" i="3"/>
  <c r="G124" i="3"/>
  <c r="G88" i="3"/>
  <c r="G106" i="3"/>
  <c r="G161" i="3"/>
  <c r="D17" i="7"/>
  <c r="D16" i="7"/>
  <c r="D266" i="7"/>
  <c r="D265" i="7"/>
  <c r="D264" i="7"/>
  <c r="D263" i="7"/>
  <c r="D262" i="7"/>
  <c r="G261" i="7"/>
  <c r="D261" i="7"/>
  <c r="D260" i="7"/>
  <c r="D259" i="7"/>
  <c r="D258" i="7"/>
  <c r="D257" i="7"/>
  <c r="G255" i="7"/>
  <c r="D230" i="7"/>
  <c r="D229" i="7"/>
  <c r="D228" i="7"/>
  <c r="D227" i="7"/>
  <c r="D226" i="7"/>
  <c r="G225" i="7"/>
  <c r="D225" i="7"/>
  <c r="D224" i="7"/>
  <c r="D223" i="7"/>
  <c r="D222" i="7"/>
  <c r="D221" i="7"/>
  <c r="G219" i="7"/>
  <c r="D194" i="7"/>
  <c r="D193" i="7"/>
  <c r="D192" i="7"/>
  <c r="D191" i="7"/>
  <c r="D190" i="7"/>
  <c r="G189" i="7"/>
  <c r="D189" i="7"/>
  <c r="D188" i="7"/>
  <c r="D187" i="7"/>
  <c r="D186" i="7"/>
  <c r="D185" i="7"/>
  <c r="G183" i="7"/>
  <c r="D157" i="7"/>
  <c r="D156" i="7"/>
  <c r="D155" i="7"/>
  <c r="D154" i="7"/>
  <c r="D153" i="7"/>
  <c r="G152" i="7"/>
  <c r="D152" i="7"/>
  <c r="D151" i="7"/>
  <c r="D150" i="7"/>
  <c r="D149" i="7"/>
  <c r="D148" i="7"/>
  <c r="G146" i="7"/>
  <c r="D121" i="7"/>
  <c r="D120" i="7"/>
  <c r="D119" i="7"/>
  <c r="D118" i="7"/>
  <c r="D117" i="7"/>
  <c r="G116" i="7"/>
  <c r="D116" i="7"/>
  <c r="D115" i="7"/>
  <c r="D114" i="7"/>
  <c r="D113" i="7"/>
  <c r="D112" i="7"/>
  <c r="G110" i="7"/>
  <c r="D84" i="7"/>
  <c r="D83" i="7"/>
  <c r="D82" i="7"/>
  <c r="D81" i="7"/>
  <c r="D80" i="7"/>
  <c r="G79" i="7"/>
  <c r="D79" i="7"/>
  <c r="D78" i="7"/>
  <c r="D77" i="7"/>
  <c r="D76" i="7"/>
  <c r="D75" i="7"/>
  <c r="G73" i="7"/>
  <c r="D49" i="7"/>
  <c r="D48" i="7"/>
  <c r="D47" i="7"/>
  <c r="D46" i="7"/>
  <c r="D45" i="7"/>
  <c r="G44" i="7"/>
  <c r="D44" i="7"/>
  <c r="D43" i="7"/>
  <c r="D42" i="7"/>
  <c r="D41" i="7"/>
  <c r="D40" i="7"/>
  <c r="G38" i="7"/>
  <c r="G4" i="7"/>
  <c r="D624" i="1"/>
  <c r="D625" i="1"/>
  <c r="D626" i="1"/>
  <c r="D627" i="1"/>
  <c r="D628" i="1"/>
  <c r="D629" i="1"/>
  <c r="D630" i="1"/>
  <c r="D631" i="1"/>
  <c r="D632" i="1"/>
  <c r="D633" i="1"/>
  <c r="D623" i="1"/>
  <c r="G335" i="4"/>
  <c r="G38" i="3"/>
  <c r="D15" i="7"/>
  <c r="D14" i="7"/>
  <c r="D13" i="7"/>
  <c r="D12" i="7"/>
  <c r="D11" i="7"/>
  <c r="G10" i="7"/>
  <c r="D10" i="7"/>
  <c r="D9" i="7"/>
  <c r="D8" i="7"/>
  <c r="D7" i="7"/>
  <c r="D6" i="7"/>
  <c r="D391" i="5"/>
  <c r="D390" i="5"/>
  <c r="D389" i="5"/>
  <c r="D388" i="5"/>
  <c r="G387" i="5"/>
  <c r="D387" i="5"/>
  <c r="D386" i="5"/>
  <c r="D385" i="5"/>
  <c r="D384" i="5"/>
  <c r="G381" i="5"/>
  <c r="D347" i="5"/>
  <c r="D346" i="5"/>
  <c r="D345" i="5"/>
  <c r="D344" i="5"/>
  <c r="G343" i="5"/>
  <c r="D343" i="5"/>
  <c r="D342" i="5"/>
  <c r="D341" i="5"/>
  <c r="D340" i="5"/>
  <c r="G337" i="5"/>
  <c r="D303" i="5"/>
  <c r="D302" i="5"/>
  <c r="D301" i="5"/>
  <c r="D300" i="5"/>
  <c r="G299" i="5"/>
  <c r="D299" i="5"/>
  <c r="D298" i="5"/>
  <c r="D297" i="5"/>
  <c r="D296" i="5"/>
  <c r="G293" i="5"/>
  <c r="D594" i="4"/>
  <c r="D593" i="4"/>
  <c r="D592" i="4"/>
  <c r="D591" i="4"/>
  <c r="G590" i="4"/>
  <c r="D590" i="4"/>
  <c r="D589" i="4"/>
  <c r="D588" i="4"/>
  <c r="D587" i="4"/>
  <c r="G584" i="4"/>
  <c r="D550" i="4"/>
  <c r="D549" i="4"/>
  <c r="D548" i="4"/>
  <c r="D547" i="4"/>
  <c r="G546" i="4"/>
  <c r="D546" i="4"/>
  <c r="D545" i="4"/>
  <c r="D544" i="4"/>
  <c r="D543" i="4"/>
  <c r="G540" i="4"/>
  <c r="D506" i="4"/>
  <c r="D505" i="4"/>
  <c r="D504" i="4"/>
  <c r="D503" i="4"/>
  <c r="G502" i="4"/>
  <c r="D502" i="4"/>
  <c r="D501" i="4"/>
  <c r="D500" i="4"/>
  <c r="D499" i="4"/>
  <c r="G496" i="4"/>
  <c r="D461" i="4"/>
  <c r="D460" i="4"/>
  <c r="D459" i="4"/>
  <c r="D458" i="4"/>
  <c r="G457" i="4"/>
  <c r="D457" i="4"/>
  <c r="D456" i="4"/>
  <c r="D455" i="4"/>
  <c r="D454" i="4"/>
  <c r="G451" i="4"/>
  <c r="D416" i="4"/>
  <c r="D415" i="4"/>
  <c r="D414" i="4"/>
  <c r="D413" i="4"/>
  <c r="G412" i="4"/>
  <c r="D412" i="4"/>
  <c r="D411" i="4"/>
  <c r="D410" i="4"/>
  <c r="D409" i="4"/>
  <c r="D258" i="5"/>
  <c r="D257" i="5"/>
  <c r="D256" i="5"/>
  <c r="D255" i="5"/>
  <c r="G254" i="5"/>
  <c r="D254" i="5"/>
  <c r="D253" i="5"/>
  <c r="D252" i="5"/>
  <c r="D251" i="5"/>
  <c r="G248" i="5"/>
  <c r="D331" i="4"/>
  <c r="G151" i="5"/>
  <c r="D224" i="5"/>
  <c r="D223" i="5"/>
  <c r="D222" i="5"/>
  <c r="D221" i="5"/>
  <c r="D220" i="5"/>
  <c r="G219" i="5"/>
  <c r="D219" i="5"/>
  <c r="D218" i="5"/>
  <c r="D217" i="5"/>
  <c r="D216" i="5"/>
  <c r="G184" i="5"/>
  <c r="G292" i="4"/>
  <c r="D589" i="1"/>
  <c r="D288" i="4"/>
  <c r="D580" i="1"/>
  <c r="D537" i="1"/>
  <c r="G178" i="5"/>
  <c r="G145" i="5"/>
  <c r="D245" i="4"/>
  <c r="D373" i="4"/>
  <c r="D372" i="4"/>
  <c r="D371" i="4"/>
  <c r="D370" i="4"/>
  <c r="G369" i="4"/>
  <c r="D369" i="4"/>
  <c r="D368" i="4"/>
  <c r="D367" i="4"/>
  <c r="D366" i="4"/>
  <c r="G363" i="4"/>
  <c r="D339" i="4"/>
  <c r="D338" i="4"/>
  <c r="D337" i="4"/>
  <c r="D336" i="4"/>
  <c r="D335" i="4"/>
  <c r="D334" i="4"/>
  <c r="D333" i="4"/>
  <c r="D332" i="4"/>
  <c r="G329" i="4"/>
  <c r="D296" i="4"/>
  <c r="D295" i="4"/>
  <c r="D294" i="4"/>
  <c r="D293" i="4"/>
  <c r="D292" i="4"/>
  <c r="D291" i="4"/>
  <c r="D290" i="4"/>
  <c r="D289" i="4"/>
  <c r="G286" i="4"/>
  <c r="D253" i="4"/>
  <c r="D252" i="4"/>
  <c r="D251" i="4"/>
  <c r="D250" i="4"/>
  <c r="G249" i="4"/>
  <c r="D249" i="4"/>
  <c r="D248" i="4"/>
  <c r="D247" i="4"/>
  <c r="D246" i="4"/>
  <c r="G243" i="4"/>
  <c r="D674" i="1"/>
  <c r="D673" i="1"/>
  <c r="D672" i="1"/>
  <c r="D671" i="1"/>
  <c r="G670" i="1"/>
  <c r="D670" i="1"/>
  <c r="D669" i="1"/>
  <c r="D668" i="1"/>
  <c r="D667" i="1"/>
  <c r="G664" i="1"/>
  <c r="G627" i="1"/>
  <c r="G621" i="1"/>
  <c r="D588" i="1"/>
  <c r="D587" i="1"/>
  <c r="D586" i="1"/>
  <c r="D585" i="1"/>
  <c r="G584" i="1"/>
  <c r="D584" i="1"/>
  <c r="D583" i="1"/>
  <c r="D582" i="1"/>
  <c r="D581" i="1"/>
  <c r="G578" i="1"/>
  <c r="D189" i="5"/>
  <c r="D188" i="5"/>
  <c r="D187" i="5"/>
  <c r="D186" i="5"/>
  <c r="D185" i="5"/>
  <c r="D184" i="5"/>
  <c r="D183" i="5"/>
  <c r="D182" i="5"/>
  <c r="D181" i="5"/>
  <c r="D180" i="5"/>
  <c r="D156" i="5"/>
  <c r="D155" i="5"/>
  <c r="D154" i="5"/>
  <c r="D153" i="5"/>
  <c r="D152" i="5"/>
  <c r="D151" i="5"/>
  <c r="D150" i="5"/>
  <c r="D149" i="5"/>
  <c r="D148" i="5"/>
  <c r="D147" i="5"/>
  <c r="D489" i="1"/>
  <c r="G47" i="3"/>
  <c r="G48" i="3"/>
  <c r="G61" i="3"/>
  <c r="G62" i="3"/>
  <c r="G63" i="3"/>
  <c r="G64" i="3"/>
  <c r="G65" i="3"/>
  <c r="G68" i="3"/>
  <c r="G46" i="3"/>
  <c r="D446" i="1"/>
  <c r="D195" i="4"/>
  <c r="D203" i="4"/>
  <c r="D202" i="4"/>
  <c r="D201" i="4"/>
  <c r="D200" i="4"/>
  <c r="G199" i="4"/>
  <c r="D199" i="4"/>
  <c r="D198" i="4"/>
  <c r="D197" i="4"/>
  <c r="D196" i="4"/>
  <c r="G193" i="4"/>
  <c r="G541" i="1"/>
  <c r="G535" i="1"/>
  <c r="G493" i="1"/>
  <c r="G487" i="1"/>
  <c r="G450" i="1"/>
  <c r="G444" i="1"/>
  <c r="G407" i="1"/>
  <c r="G401" i="1"/>
  <c r="D545" i="1"/>
  <c r="D544" i="1"/>
  <c r="D543" i="1"/>
  <c r="D542" i="1"/>
  <c r="D541" i="1"/>
  <c r="D540" i="1"/>
  <c r="D539" i="1"/>
  <c r="D538" i="1"/>
  <c r="D497" i="1"/>
  <c r="D496" i="1"/>
  <c r="D495" i="1"/>
  <c r="D494" i="1"/>
  <c r="D493" i="1"/>
  <c r="D492" i="1"/>
  <c r="D491" i="1"/>
  <c r="D490" i="1"/>
  <c r="D454" i="1"/>
  <c r="D453" i="1"/>
  <c r="D452" i="1"/>
  <c r="D451" i="1"/>
  <c r="D450" i="1"/>
  <c r="D449" i="1"/>
  <c r="D448" i="1"/>
  <c r="D447" i="1"/>
  <c r="D411" i="1"/>
  <c r="D410" i="1"/>
  <c r="D409" i="1"/>
  <c r="D408" i="1"/>
  <c r="D407" i="1"/>
  <c r="D406" i="1"/>
  <c r="D405" i="1"/>
  <c r="D404" i="1"/>
  <c r="D368" i="1"/>
  <c r="D367" i="1"/>
  <c r="D366" i="1"/>
  <c r="D365" i="1"/>
  <c r="G364" i="1"/>
  <c r="D364" i="1"/>
  <c r="D363" i="1"/>
  <c r="D362" i="1"/>
  <c r="D361" i="1"/>
  <c r="D360" i="1"/>
  <c r="G358" i="1"/>
  <c r="D323" i="1"/>
  <c r="D322" i="1"/>
  <c r="D321" i="1"/>
  <c r="D320" i="1"/>
  <c r="G319" i="1"/>
  <c r="D319" i="1"/>
  <c r="D318" i="1"/>
  <c r="D317" i="1"/>
  <c r="D316" i="1"/>
  <c r="D315" i="1"/>
  <c r="G313" i="1"/>
  <c r="G121" i="4"/>
  <c r="G226" i="1"/>
  <c r="G45" i="3"/>
  <c r="G44" i="3"/>
  <c r="G43" i="3"/>
  <c r="G42" i="3"/>
  <c r="G41" i="3"/>
  <c r="G40" i="3"/>
  <c r="G39" i="3"/>
  <c r="D160" i="4"/>
  <c r="D161" i="4"/>
  <c r="D162" i="4"/>
  <c r="D163" i="4"/>
  <c r="D164" i="4"/>
  <c r="D165" i="4"/>
  <c r="D166" i="4"/>
  <c r="D167" i="4"/>
  <c r="D159" i="4"/>
  <c r="D112" i="5"/>
  <c r="D113" i="5"/>
  <c r="D114" i="5"/>
  <c r="D115" i="5"/>
  <c r="D116" i="5"/>
  <c r="D117" i="5"/>
  <c r="D118" i="5"/>
  <c r="D119" i="5"/>
  <c r="D120" i="5"/>
  <c r="D111" i="5"/>
  <c r="G268" i="1"/>
  <c r="D271" i="1"/>
  <c r="D272" i="1"/>
  <c r="D273" i="1"/>
  <c r="D274" i="1"/>
  <c r="D275" i="1"/>
  <c r="D276" i="1"/>
  <c r="D277" i="1"/>
  <c r="D278" i="1"/>
  <c r="D270" i="1"/>
  <c r="G162" i="4"/>
  <c r="G115" i="5"/>
  <c r="G109" i="5"/>
  <c r="G274" i="1"/>
  <c r="D125" i="4"/>
  <c r="D119" i="4"/>
  <c r="D120" i="4"/>
  <c r="D121" i="4"/>
  <c r="D122" i="4"/>
  <c r="D123" i="4"/>
  <c r="D124" i="4"/>
  <c r="D126" i="4"/>
  <c r="D118" i="4"/>
  <c r="G17" i="3"/>
  <c r="G16" i="3"/>
  <c r="G220" i="1"/>
  <c r="D222" i="1"/>
  <c r="D223" i="1"/>
  <c r="D224" i="1"/>
  <c r="D225" i="1"/>
  <c r="D226" i="1"/>
  <c r="D227" i="1"/>
  <c r="D228" i="1"/>
  <c r="D229" i="1"/>
  <c r="D230" i="1"/>
  <c r="D85" i="5"/>
  <c r="D84" i="5"/>
  <c r="D83" i="5"/>
  <c r="D82" i="5"/>
  <c r="D81" i="5"/>
  <c r="D80" i="5"/>
  <c r="G79" i="5"/>
  <c r="D79" i="5"/>
  <c r="D78" i="5"/>
  <c r="D77" i="5"/>
  <c r="D76" i="5"/>
  <c r="D75" i="5"/>
  <c r="G73" i="5"/>
  <c r="G25" i="3"/>
  <c r="D83" i="4"/>
  <c r="D84" i="4"/>
  <c r="D85" i="4"/>
  <c r="D86" i="4"/>
  <c r="D87" i="4"/>
  <c r="D88" i="4"/>
  <c r="D89" i="4"/>
  <c r="D90" i="4"/>
  <c r="D91" i="4"/>
  <c r="D92" i="4"/>
  <c r="D82" i="4"/>
  <c r="G23" i="3"/>
  <c r="G24" i="3"/>
  <c r="G27" i="3"/>
  <c r="G28" i="3"/>
  <c r="G29" i="3"/>
  <c r="G30" i="3"/>
  <c r="D188" i="1"/>
  <c r="D189" i="1"/>
  <c r="D190" i="1"/>
  <c r="D191" i="1"/>
  <c r="D192" i="1"/>
  <c r="D193" i="1"/>
  <c r="D194" i="1"/>
  <c r="D195" i="1"/>
  <c r="D187" i="1"/>
  <c r="G185" i="1"/>
  <c r="D151" i="1"/>
  <c r="D152" i="1"/>
  <c r="D153" i="1"/>
  <c r="D154" i="1"/>
  <c r="D155" i="1"/>
  <c r="D156" i="1"/>
  <c r="D157" i="1"/>
  <c r="D158" i="1"/>
  <c r="D159" i="1"/>
  <c r="D150" i="1"/>
  <c r="G85" i="4"/>
  <c r="G41" i="4"/>
  <c r="G46" i="4"/>
  <c r="G15" i="3"/>
  <c r="G12" i="3"/>
  <c r="G13" i="3"/>
  <c r="G14" i="3"/>
  <c r="G10" i="3"/>
  <c r="G9" i="3"/>
  <c r="G11" i="3"/>
  <c r="D41" i="5"/>
  <c r="D42" i="5"/>
  <c r="D43" i="5"/>
  <c r="D44" i="5"/>
  <c r="D45" i="5"/>
  <c r="D46" i="5"/>
  <c r="D47" i="5"/>
  <c r="D48" i="5"/>
  <c r="D49" i="5"/>
  <c r="D50" i="5"/>
  <c r="D40" i="5"/>
  <c r="D112" i="1"/>
  <c r="D113" i="1"/>
  <c r="D114" i="1"/>
  <c r="D115" i="1"/>
  <c r="D116" i="1"/>
  <c r="D117" i="1"/>
  <c r="D118" i="1"/>
  <c r="D119" i="1"/>
  <c r="D120" i="1"/>
  <c r="D121" i="1"/>
  <c r="D122" i="1"/>
  <c r="D123" i="1"/>
  <c r="D111" i="1"/>
  <c r="D44" i="4"/>
  <c r="D45" i="4"/>
  <c r="D46" i="4"/>
  <c r="D47" i="4"/>
  <c r="D48" i="4"/>
  <c r="D49" i="4"/>
  <c r="D50" i="4"/>
  <c r="D51" i="4"/>
  <c r="D52" i="4"/>
  <c r="D43" i="4"/>
  <c r="G9" i="4"/>
  <c r="G191" i="1"/>
  <c r="G154" i="1"/>
  <c r="G44" i="5"/>
  <c r="G46" i="1"/>
  <c r="D5" i="5"/>
  <c r="D6" i="5"/>
  <c r="D7" i="5"/>
  <c r="D8" i="5"/>
  <c r="D9" i="5"/>
  <c r="D10" i="5"/>
  <c r="D11" i="5"/>
  <c r="D12" i="5"/>
  <c r="D13" i="5"/>
  <c r="D14" i="5"/>
  <c r="D4" i="5"/>
  <c r="G2" i="5"/>
  <c r="G8" i="5"/>
  <c r="D76" i="1"/>
  <c r="D77" i="1"/>
  <c r="D78" i="1"/>
  <c r="D79" i="1"/>
  <c r="D80" i="1"/>
  <c r="D81" i="1"/>
  <c r="D82" i="1"/>
  <c r="D83" i="1"/>
  <c r="D75" i="1"/>
  <c r="G115" i="1"/>
  <c r="G79" i="1"/>
  <c r="G9" i="1"/>
  <c r="D43" i="1"/>
  <c r="D44" i="1"/>
  <c r="D45" i="1"/>
  <c r="D46" i="1"/>
  <c r="D47" i="1"/>
  <c r="D48" i="1"/>
  <c r="D50" i="1"/>
  <c r="D51" i="1"/>
  <c r="D52" i="1"/>
  <c r="D42" i="1"/>
  <c r="G40" i="1"/>
  <c r="D7" i="4"/>
  <c r="D8" i="4"/>
  <c r="D9" i="4"/>
  <c r="D10" i="4"/>
  <c r="D11" i="4"/>
  <c r="D12" i="4"/>
  <c r="D13" i="4"/>
  <c r="D14" i="4"/>
  <c r="D6" i="4"/>
  <c r="D16" i="4"/>
  <c r="D15" i="4"/>
  <c r="G4" i="4"/>
  <c r="G5" i="3"/>
  <c r="G6" i="3"/>
  <c r="G7" i="3"/>
  <c r="G8" i="3"/>
  <c r="G70" i="3" l="1"/>
  <c r="G50" i="3"/>
  <c r="G32" i="3"/>
  <c r="G19" i="3"/>
  <c r="D7" i="1"/>
  <c r="D8" i="1"/>
  <c r="D9" i="1"/>
  <c r="D10" i="1"/>
  <c r="D11" i="1"/>
  <c r="D12" i="1"/>
  <c r="D13" i="1"/>
  <c r="D14" i="1"/>
  <c r="D15" i="1"/>
  <c r="D16" i="1"/>
  <c r="D6" i="1"/>
  <c r="G4" i="1" l="1"/>
  <c r="D215" i="5"/>
  <c r="A143" i="5"/>
</calcChain>
</file>

<file path=xl/sharedStrings.xml><?xml version="1.0" encoding="utf-8"?>
<sst xmlns="http://schemas.openxmlformats.org/spreadsheetml/2006/main" count="4513" uniqueCount="954">
  <si>
    <t>FACTURA NUMERO</t>
  </si>
  <si>
    <t xml:space="preserve">EMPRESA </t>
  </si>
  <si>
    <t>DESCRIPCION</t>
  </si>
  <si>
    <t>CANTIDAD</t>
  </si>
  <si>
    <t>VALOR UNITARIO</t>
  </si>
  <si>
    <t>TALLA</t>
  </si>
  <si>
    <t>TOTAL FACTURA</t>
  </si>
  <si>
    <t>FUNCIONES 2 PARTES</t>
  </si>
  <si>
    <t>VALOR</t>
  </si>
  <si>
    <t>HOMBROS</t>
  </si>
  <si>
    <t>EMPLEADO</t>
  </si>
  <si>
    <t>FUNCION</t>
  </si>
  <si>
    <t xml:space="preserve">CANTIDAD </t>
  </si>
  <si>
    <t xml:space="preserve">VALOR </t>
  </si>
  <si>
    <t>PRESTAMOS</t>
  </si>
  <si>
    <t>YULI</t>
  </si>
  <si>
    <t>MONGUI</t>
  </si>
  <si>
    <t>DAMELIS</t>
  </si>
  <si>
    <t>QUINCENA  15 DE AL 30 DE ENERO 2026</t>
  </si>
  <si>
    <t>COOLKIDS</t>
  </si>
  <si>
    <t>FRANELILLA NIÑO</t>
  </si>
  <si>
    <t>TALLA 6-12</t>
  </si>
  <si>
    <t>CIERRE LADOS</t>
  </si>
  <si>
    <t>SESGO DE CUELLO</t>
  </si>
  <si>
    <t xml:space="preserve">DOBLADILLO </t>
  </si>
  <si>
    <t xml:space="preserve">REMATES </t>
  </si>
  <si>
    <t xml:space="preserve">DESPELUZE </t>
  </si>
  <si>
    <t xml:space="preserve">ANA </t>
  </si>
  <si>
    <t>DOBLADILLOS TALLA 12,6</t>
  </si>
  <si>
    <t>JUAN</t>
  </si>
  <si>
    <t>SESGO MANGA  TALLA 12,6</t>
  </si>
  <si>
    <t xml:space="preserve">CRISTIAN </t>
  </si>
  <si>
    <t>SESGO CUELLO TALLA 12,6</t>
  </si>
  <si>
    <t>FATURA No</t>
  </si>
  <si>
    <t xml:space="preserve">DESCRIPCIÓN </t>
  </si>
  <si>
    <t xml:space="preserve">TALLA </t>
  </si>
  <si>
    <t xml:space="preserve">TOTAL FACTURA </t>
  </si>
  <si>
    <t xml:space="preserve">FECHA SALIDA </t>
  </si>
  <si>
    <t xml:space="preserve">FECHA PAGO </t>
  </si>
  <si>
    <t>FECHA LLEGADA</t>
  </si>
  <si>
    <t>ALEXANDER</t>
  </si>
  <si>
    <t>DESPELUZE</t>
  </si>
  <si>
    <t>ARGENIS</t>
  </si>
  <si>
    <t>HOMBROS Y CIERRE LADOS TALLA 12  4 PAQ</t>
  </si>
  <si>
    <t>HOMBROS Y CIERRE LADOS TALLA 6   3 PAQ</t>
  </si>
  <si>
    <t>HOMBRO CIERRE LADOS T12- 4 PAQ  , T6-5PAQ</t>
  </si>
  <si>
    <t>CIERRE</t>
  </si>
  <si>
    <t>CAMISA NIÑA</t>
  </si>
  <si>
    <t>8--12</t>
  </si>
  <si>
    <t xml:space="preserve">HOMBROS </t>
  </si>
  <si>
    <t xml:space="preserve">ENMANGAR </t>
  </si>
  <si>
    <t xml:space="preserve">DOBLADILLO DE MANGAS </t>
  </si>
  <si>
    <t xml:space="preserve">SESGO </t>
  </si>
  <si>
    <t xml:space="preserve">REMATE </t>
  </si>
  <si>
    <t>IMPERIUM</t>
  </si>
  <si>
    <t>DOBLADILLO MANGA T8-T12</t>
  </si>
  <si>
    <t>HONBRO ENMANGO CERRO T12</t>
  </si>
  <si>
    <t>ENMANGO CERRO T-8</t>
  </si>
  <si>
    <t>LAURA</t>
  </si>
  <si>
    <t>CRISTIAN</t>
  </si>
  <si>
    <t>SESGO T-8 T-12</t>
  </si>
  <si>
    <t>DOBLADILLO</t>
  </si>
  <si>
    <t>REMATES</t>
  </si>
  <si>
    <t>PUKI</t>
  </si>
  <si>
    <t>4--8</t>
  </si>
  <si>
    <t>CAMISA PILLAMA NIÑO</t>
  </si>
  <si>
    <t>HOMBROS T 8</t>
  </si>
  <si>
    <t>DESPELUSE</t>
  </si>
  <si>
    <t>DOBLADILLO MANGA T-8 T-4</t>
  </si>
  <si>
    <t xml:space="preserve"> HOMBROS 4 PAQ T-4</t>
  </si>
  <si>
    <t>DOBLADILLO MANGA</t>
  </si>
  <si>
    <t>CAMISA NIÑO</t>
  </si>
  <si>
    <t xml:space="preserve">CIERRE </t>
  </si>
  <si>
    <t>HOMBROS T4  8 PAQ</t>
  </si>
  <si>
    <t>SESGO MANGA</t>
  </si>
  <si>
    <t>DOBLADILLO ABAJO</t>
  </si>
  <si>
    <t xml:space="preserve"> TCIERE T -8</t>
  </si>
  <si>
    <t>ENMANGAR  T 8</t>
  </si>
  <si>
    <t>ENMANGAR</t>
  </si>
  <si>
    <t>CIERRE DE MANGAS</t>
  </si>
  <si>
    <t>CIERRE DE LADOS</t>
  </si>
  <si>
    <t xml:space="preserve">DOBLADILLO MANGAS </t>
  </si>
  <si>
    <t xml:space="preserve">MONTAR CUELLOS </t>
  </si>
  <si>
    <t>PISE DE PLANA CUELLOS</t>
  </si>
  <si>
    <t>DESPELUCE</t>
  </si>
  <si>
    <t xml:space="preserve">CERRE DE LADOS </t>
  </si>
  <si>
    <t>TIRO</t>
  </si>
  <si>
    <t>DOBLADILLO BOTA</t>
  </si>
  <si>
    <t>PISE DE CAUCHO</t>
  </si>
  <si>
    <t>ENCAUCHAR</t>
  </si>
  <si>
    <t>6-2-12-16</t>
  </si>
  <si>
    <t>KOOLKIDS</t>
  </si>
  <si>
    <t>PANTALON TRAGE BAÑO</t>
  </si>
  <si>
    <t>2-6-12-16</t>
  </si>
  <si>
    <t>MANGA CERRADA</t>
  </si>
  <si>
    <t xml:space="preserve">CIERE T 4 3 PAQ </t>
  </si>
  <si>
    <t>CIERRE TALLA 4  9-PAQ</t>
  </si>
  <si>
    <t>NORI</t>
  </si>
  <si>
    <t>FRANELILLA NIÑA</t>
  </si>
  <si>
    <t>0--</t>
  </si>
  <si>
    <t>SESGODE MANGA</t>
  </si>
  <si>
    <t>REMATE</t>
  </si>
  <si>
    <t>CIERRE DE LADO</t>
  </si>
  <si>
    <t>SESGO MANGAS</t>
  </si>
  <si>
    <t>ANA</t>
  </si>
  <si>
    <t>ENMANGAR T4- 2 PAQ + 174 CAMISAS</t>
  </si>
  <si>
    <t>DOBLADILLO ABAJO T4- T8</t>
  </si>
  <si>
    <t>SESGO DE CUELLO T-8 T-4</t>
  </si>
  <si>
    <t xml:space="preserve">BUSO TRAJE NIÑO </t>
  </si>
  <si>
    <t>DOBLADILLO ABAJO T-2-6-12-16</t>
  </si>
  <si>
    <t>DOBLADILLO MANGA T 2 T6</t>
  </si>
  <si>
    <t>SIERE DE MANGA T16 CIERRE LADO T16 ENMANGO T16</t>
  </si>
  <si>
    <t>SIERE DE MANGA T6 CIERRE LADO T6 ENMANGO T6</t>
  </si>
  <si>
    <t>MARIA</t>
  </si>
  <si>
    <t>DOBLADILLO MANGA SERADA T12-16</t>
  </si>
  <si>
    <t>ENMANGAR T4  717 CAMISAS</t>
  </si>
  <si>
    <t>CIERE DE MANGA T2</t>
  </si>
  <si>
    <t>CIERE DE LADO T2</t>
  </si>
  <si>
    <t>ENMANGAR T2</t>
  </si>
  <si>
    <t xml:space="preserve">MARIA </t>
  </si>
  <si>
    <t>PISE CUELLO</t>
  </si>
  <si>
    <t>MONTAR CUELLO</t>
  </si>
  <si>
    <t>SESGO CUELLO ROSADO</t>
  </si>
  <si>
    <t>ALEJANDRA</t>
  </si>
  <si>
    <t>FACTURA</t>
  </si>
  <si>
    <t>00-</t>
  </si>
  <si>
    <t>SHORT NIÑA</t>
  </si>
  <si>
    <t>CIERE MANGA T12 CIERE LADO T12 ENMANGAR T12</t>
  </si>
  <si>
    <t>DELANTERO TRASERO</t>
  </si>
  <si>
    <t>REMATE TIRO</t>
  </si>
  <si>
    <t>ENCAUCHADA</t>
  </si>
  <si>
    <t>REMATE CAUCHO</t>
  </si>
  <si>
    <t>PISE CAUCHO</t>
  </si>
  <si>
    <t>yuli</t>
  </si>
  <si>
    <t>DELANTERO TRASERO T-0</t>
  </si>
  <si>
    <t>2--6--12--16</t>
  </si>
  <si>
    <t>PANTALON TRAJE BAÑO</t>
  </si>
  <si>
    <t>TIRO T-0</t>
  </si>
  <si>
    <t>00-2</t>
  </si>
  <si>
    <t>IMPERIUN</t>
  </si>
  <si>
    <t>6--10</t>
  </si>
  <si>
    <t>HOMBRO 6</t>
  </si>
  <si>
    <t>00--2</t>
  </si>
  <si>
    <t>IMPRIUN</t>
  </si>
  <si>
    <t>PAFER</t>
  </si>
  <si>
    <t>CAMISA</t>
  </si>
  <si>
    <t>CIRRE DE LADO T12 YTIRO T12</t>
  </si>
  <si>
    <t>DOBLADILLO MANGA 10-6</t>
  </si>
  <si>
    <t xml:space="preserve">HOMBRO T10 </t>
  </si>
  <si>
    <t>ENMANGADO T 10-6</t>
  </si>
  <si>
    <t>ALEJADRA</t>
  </si>
  <si>
    <t>TODAS</t>
  </si>
  <si>
    <t>CAMISILLA</t>
  </si>
  <si>
    <t>CIRRE DE LADO T16-6-2YTIRO T16-6-2</t>
  </si>
  <si>
    <t>DOBLADILLO T16-12-6-2 BOTA</t>
  </si>
  <si>
    <t>DOBLADILLO ABAJO 10-6</t>
  </si>
  <si>
    <t>SESGO</t>
  </si>
  <si>
    <t>ENCAUCHADO T--0</t>
  </si>
  <si>
    <t>PISE DE CAUCHO T--0</t>
  </si>
  <si>
    <t>DOBLADILLO T--0</t>
  </si>
  <si>
    <t>REMATE DE CAUCHO</t>
  </si>
  <si>
    <t>ENCAUCHADO T 16-12-6-2</t>
  </si>
  <si>
    <t>CIERRE T10 T6</t>
  </si>
  <si>
    <t>UNIR SESGO</t>
  </si>
  <si>
    <t>BLUSA NIÑA</t>
  </si>
  <si>
    <t>CHOR NIÑA</t>
  </si>
  <si>
    <t>00--1</t>
  </si>
  <si>
    <t>DAMERIS</t>
  </si>
  <si>
    <t>CAMISA BB</t>
  </si>
  <si>
    <t>1--3</t>
  </si>
  <si>
    <t>PANTALONETA NIÑO</t>
  </si>
  <si>
    <t>00-3</t>
  </si>
  <si>
    <t>6--</t>
  </si>
  <si>
    <t>BUSO TRAJE</t>
  </si>
  <si>
    <t>HOMBRO</t>
  </si>
  <si>
    <t xml:space="preserve">DAMERIS </t>
  </si>
  <si>
    <t>PISE PLANA</t>
  </si>
  <si>
    <t>REMATE CUCHO</t>
  </si>
  <si>
    <t>PICE CAUCHO</t>
  </si>
  <si>
    <t>COB</t>
  </si>
  <si>
    <t>CONB</t>
  </si>
  <si>
    <t>00-8</t>
  </si>
  <si>
    <t>DELANTERO TRASERO T6</t>
  </si>
  <si>
    <t>PISE DE PLANA T6</t>
  </si>
  <si>
    <t>DOBLADILLO T6</t>
  </si>
  <si>
    <t>ALES</t>
  </si>
  <si>
    <t>DELANTERO TRASERO T8</t>
  </si>
  <si>
    <t>PISE PLANA T8</t>
  </si>
  <si>
    <t>00--3</t>
  </si>
  <si>
    <t>CMISA NIÑA</t>
  </si>
  <si>
    <t>DOBLADILLO T8</t>
  </si>
  <si>
    <t>ALEX</t>
  </si>
  <si>
    <t>REMATE TIRO T6</t>
  </si>
  <si>
    <t>ENCAUCHADO T6</t>
  </si>
  <si>
    <t>CIERRE T1</t>
  </si>
  <si>
    <t>CIERRE T3</t>
  </si>
  <si>
    <t>SESGO  T3</t>
  </si>
  <si>
    <t>REMATE CAUCHO T8</t>
  </si>
  <si>
    <t>CAUCHO T8</t>
  </si>
  <si>
    <t>DESPELUSE T8</t>
  </si>
  <si>
    <t xml:space="preserve">QUINCENA 15 DE FEBREO AL 28 </t>
  </si>
  <si>
    <t xml:space="preserve">YULI </t>
  </si>
  <si>
    <t>QUINCENA  15  FEBRERO   AL 28</t>
  </si>
  <si>
    <t>QUINCENA   15  FEBRERO    AL  28</t>
  </si>
  <si>
    <t>QUINCENA 15  FEBRERO  AL  28</t>
  </si>
  <si>
    <t>ALEJA</t>
  </si>
  <si>
    <t>REMATE CAUCHO T6</t>
  </si>
  <si>
    <t xml:space="preserve"> HOMBRO T6-8</t>
  </si>
  <si>
    <t>ENMANGAR  T6-8</t>
  </si>
  <si>
    <t>CIERE</t>
  </si>
  <si>
    <t>HOMBRO Y MANGA T2-4</t>
  </si>
  <si>
    <t>DOBLADILLO T6-8T2-4</t>
  </si>
  <si>
    <t>REMATE NORI</t>
  </si>
  <si>
    <t>CIRE  NORI</t>
  </si>
  <si>
    <t>REMATE TIRO T8</t>
  </si>
  <si>
    <t>PISE DE CAUCHO T6 7-PAQ</t>
  </si>
  <si>
    <t>PISE CAUCHO 5 PAQ</t>
  </si>
  <si>
    <t>PISE CAUCHO T8</t>
  </si>
  <si>
    <t>CAMISA ROLLITO</t>
  </si>
  <si>
    <t>12-8-6-4</t>
  </si>
  <si>
    <t>NMANGAR</t>
  </si>
  <si>
    <t>SESGO T12 FAC-1724</t>
  </si>
  <si>
    <t>DOBLADILLO MANGA FAC 1724</t>
  </si>
  <si>
    <t>HOMBROT8 FAC-1724</t>
  </si>
  <si>
    <t>HOMBRO T12 FAC -1724</t>
  </si>
  <si>
    <t>HOMBROS T6 FAC-1724</t>
  </si>
  <si>
    <t>SESGO T8 FAC-1724</t>
  </si>
  <si>
    <t>PISE CAUCHO T-6--12</t>
  </si>
  <si>
    <t>CAMISA NIÑA ROLLITO</t>
  </si>
  <si>
    <t>QUINCENA 01  FEBRERO  AL  15</t>
  </si>
  <si>
    <t>HOMBROS T4FAC-1724</t>
  </si>
  <si>
    <t>MANGAR T12-FAC-1724</t>
  </si>
  <si>
    <t>MANGAR T8-FAC-1724</t>
  </si>
  <si>
    <t>00-4</t>
  </si>
  <si>
    <t>HOMBROS   TODO</t>
  </si>
  <si>
    <t>ENMANGAR T6-FAC-1724</t>
  </si>
  <si>
    <t>ENMANGAR T4-FAC-1724</t>
  </si>
  <si>
    <t>CIERE T12-FAC-1724</t>
  </si>
  <si>
    <t>CIERE T8-FAC-1724</t>
  </si>
  <si>
    <t>SESGO T6-FAC-1724</t>
  </si>
  <si>
    <t>DOBLADILLO MANGA-FAC-4</t>
  </si>
  <si>
    <t>SESGO T-4-FAC-1724</t>
  </si>
  <si>
    <t>ENMANGAR T10-6-4</t>
  </si>
  <si>
    <t>REMATE T12-8-6-4FAC1724 OSCAR</t>
  </si>
  <si>
    <t>CIERE T14-12-FAC 04-OLGA</t>
  </si>
  <si>
    <t>ROLLITO T-12-FAC-1724-OSCAR</t>
  </si>
  <si>
    <t>ROYITO T-8-PAQ-CELESTE-ROJO</t>
  </si>
  <si>
    <t>ROYITO T-8-PAQ-ROSADO- LILA-FUSIA-OSCA</t>
  </si>
  <si>
    <t>CIERE T--6-4-FAC-1724-OSCA</t>
  </si>
  <si>
    <t xml:space="preserve"> </t>
  </si>
  <si>
    <t>ROLLITO T-4 -FAC1724</t>
  </si>
  <si>
    <t>ROLLITO T-6-4AC-1724-OSCAR</t>
  </si>
  <si>
    <t>CRITIAN</t>
  </si>
  <si>
    <t>CIERE T10-6-4-FAC 04-OLGA</t>
  </si>
  <si>
    <t>CIRE T8-FAC -04-OLGA</t>
  </si>
  <si>
    <t>SESGO T-10-FAC-04-OLGA</t>
  </si>
  <si>
    <t>14---</t>
  </si>
  <si>
    <t>MANGA</t>
  </si>
  <si>
    <t>HOMBOT-14-FAC-1742-OSCAR</t>
  </si>
  <si>
    <t>DOBLADILLO MANGA-T14-FAC-1742OSCAR</t>
  </si>
  <si>
    <t>SESGO T14-FAC-1742-OSCAR</t>
  </si>
  <si>
    <t>DOBLADILLO ABAJO-FAC-4</t>
  </si>
  <si>
    <t>SESGO-T6-OLGA</t>
  </si>
  <si>
    <t>SESGO T-4-FAC-04-OLGA</t>
  </si>
  <si>
    <t>SESGO T-8-FAC-04-OLGA</t>
  </si>
  <si>
    <t>REMATE T-TODO OLGA</t>
  </si>
  <si>
    <t xml:space="preserve">JUAN </t>
  </si>
  <si>
    <t>SESGO T14-FAC04 OLGA</t>
  </si>
  <si>
    <t>SESGO T12-FAC04 OLGA</t>
  </si>
  <si>
    <t>ENMANGAR T14-12-8-OLGA</t>
  </si>
  <si>
    <t>CIERE T14-FAC-1742-OSCAR</t>
  </si>
  <si>
    <t>MANGA T14-FAC1742-OSCAR-4PAQBLANCO</t>
  </si>
  <si>
    <t>MANGA T14-FAC1742-OSCAR-8REY-NEGRO</t>
  </si>
  <si>
    <t>DOBLADILLO -T14-FAC-1742OSCAR</t>
  </si>
  <si>
    <t>CIERE T14-FAC-1742-OSCAR-1-PAQ-115</t>
  </si>
  <si>
    <t>REMATE TODO-OSCAR</t>
  </si>
  <si>
    <t>10--</t>
  </si>
  <si>
    <t>HOMBROS-T10-FAC-1751-OSCAR</t>
  </si>
  <si>
    <t xml:space="preserve">CAMISA NIÑA </t>
  </si>
  <si>
    <t>DOBLA MANGA-T10-FAC-1751-OSCAR</t>
  </si>
  <si>
    <t>CIERE-T10-FAC1751-OSCAR-4-PAQ</t>
  </si>
  <si>
    <t>MANGA-T10-REY-BLANCO-8-PAQ-OSCAR</t>
  </si>
  <si>
    <t>14--</t>
  </si>
  <si>
    <t>CIERE DE LADO</t>
  </si>
  <si>
    <t>SESGO CUELLO</t>
  </si>
  <si>
    <t>MANGA-T10REY-FAC-1751-4PAQ-OSCA</t>
  </si>
  <si>
    <t>1-2-3-</t>
  </si>
  <si>
    <t>CIERE-T10-FAC1751-OSCAR-8-PAQ</t>
  </si>
  <si>
    <t>SESGO-T10-FAC-1751-8-PAQ-OSCAR</t>
  </si>
  <si>
    <t>SESGO-T10-FAC-1751-4-PAQ-OSCAR</t>
  </si>
  <si>
    <t>DOBBLA-T14-1742-OSCAR-3-PAQ</t>
  </si>
  <si>
    <t>DOBLA -T10-FAC-1751-OSCAR</t>
  </si>
  <si>
    <t>REMATE T10-FAC-1751 OSCAR</t>
  </si>
  <si>
    <t>CAMISA  BB</t>
  </si>
  <si>
    <t>CIERE-T14-OLGA  FAC-05</t>
  </si>
  <si>
    <t>SESGO-T14-OLGA-FAC-05-M</t>
  </si>
  <si>
    <t>SESGO-T14-OLGA-FAC-05-C</t>
  </si>
  <si>
    <t>DOBLA-T14-OLGA-FAC-05</t>
  </si>
  <si>
    <t>REMATE-T14-OLGA-FAC-05</t>
  </si>
  <si>
    <t>DESPELUZE-OLGA-T14-05</t>
  </si>
  <si>
    <t>MARI</t>
  </si>
  <si>
    <t>UNIR-SESGO-OLGA</t>
  </si>
  <si>
    <t>HOMBRO-T3-FAC-1752-OSCAR</t>
  </si>
  <si>
    <t>HOMBRO-T2-FAC-1752-OSCAR</t>
  </si>
  <si>
    <t>HOMBRO-T-1-FAC1752</t>
  </si>
  <si>
    <t>ENMANGO-T-3-OSCAR-FAC1752</t>
  </si>
  <si>
    <t>CIERE-T2-OSCAR-FAC-1752-</t>
  </si>
  <si>
    <t>DOBLA-T3-2-1-OSCAR-FAC-1752-M</t>
  </si>
  <si>
    <t>QUINCENA 01 MARZO  AL  15</t>
  </si>
  <si>
    <t>CIERE-T1-OSCAR-FAC-1752-</t>
  </si>
  <si>
    <t>CIERE-T3-OSCAR-FAC-1752</t>
  </si>
  <si>
    <t>DOBLA-T3-2-1-OSCAR-FAC-1752-ABAJO</t>
  </si>
  <si>
    <t>REMATE-T1-2-3-OSCAR</t>
  </si>
  <si>
    <t>SESGO-T-3-REY-FAC-1752-OSCAR</t>
  </si>
  <si>
    <t>ENMANGO-T-2-1-OSCAR-FAC1752</t>
  </si>
  <si>
    <t>10-6-</t>
  </si>
  <si>
    <t>HOMBRO-T-10-OSCAR-FAC-1763</t>
  </si>
  <si>
    <t>HOMBRO-T-6-OSCAR-FAC-1763</t>
  </si>
  <si>
    <t>DOBLA-T-6-10-OSCAR-FAC-1763</t>
  </si>
  <si>
    <t>ENMANGO-T-10-OSCAR-FAC-1763-</t>
  </si>
  <si>
    <t>ENMANGO-T-6-OSCAR-FAC-1763-</t>
  </si>
  <si>
    <t>DESPELUZE-OSCAR</t>
  </si>
  <si>
    <t>CAMISA PILLAMA</t>
  </si>
  <si>
    <t>SESGO-T--BARIOS-FAC-1752-OSCAR</t>
  </si>
  <si>
    <t>SESGO-OSCAR-FAC1752</t>
  </si>
  <si>
    <t>CIERE-T10-FAC-1763-OSCAR</t>
  </si>
  <si>
    <t>DESPELUZE-FAC 06-OLGA</t>
  </si>
  <si>
    <t>SESGO MUESTRAS-64-OLGA</t>
  </si>
  <si>
    <t>REMATE-T10-6-FAC-1763-OSCAR</t>
  </si>
  <si>
    <t>UNIR SEGO-06-OLGA</t>
  </si>
  <si>
    <t>SESGO-T6-FAC-1763-4-PAQ-OSCAR</t>
  </si>
  <si>
    <t>SESGO-T6-FAC-1763-3-PAQ-OSCAR</t>
  </si>
  <si>
    <t>JORJE</t>
  </si>
  <si>
    <t>SESGO-T10-FAC-1763--OSCAR</t>
  </si>
  <si>
    <t>QUINCENA   1  MARZO    AL  30</t>
  </si>
  <si>
    <t>DELAN-TRASERO</t>
  </si>
  <si>
    <t>REMARE-TIRO</t>
  </si>
  <si>
    <t>PISE-PLANA</t>
  </si>
  <si>
    <t>REMATE-CAUCHO</t>
  </si>
  <si>
    <t>PISE-CAUCHO</t>
  </si>
  <si>
    <t>PANTALONETA</t>
  </si>
  <si>
    <t>6-8---12-10</t>
  </si>
  <si>
    <t>DELAN-TRASERO-NORI</t>
  </si>
  <si>
    <t>ENMANGO-T-6-OLGA-FAC06</t>
  </si>
  <si>
    <t>ENMANGO-T-10-OLGA-FA</t>
  </si>
  <si>
    <t>HOMBROS 006-OLGA-T10-6</t>
  </si>
  <si>
    <t>DOBLA-T-6-10-OSCAR-FAC-1763-</t>
  </si>
  <si>
    <t>CIERE-T6-OLGA-FAC-06</t>
  </si>
  <si>
    <t>SEGO-OLGA-FAC-06-T-10-6</t>
  </si>
  <si>
    <t>DOBLA-OLGA-FAC-006-M</t>
  </si>
  <si>
    <t>CIERE-T10-OLGA-FAC-06-2-P</t>
  </si>
  <si>
    <t>CIERE-T-10-FAC-06-OLGA</t>
  </si>
  <si>
    <t>REMATE-T10-6-OLGA</t>
  </si>
  <si>
    <t>DOBLA-OLGA-FAC-006-ABAJ</t>
  </si>
  <si>
    <t>DOBLA-</t>
  </si>
  <si>
    <t>DOBLA-FAC-NORI</t>
  </si>
  <si>
    <t>REMATE CAUCHO-NORI</t>
  </si>
  <si>
    <t>PISE CAUCHO-NORI</t>
  </si>
  <si>
    <t>DESPELUZE-NORI</t>
  </si>
  <si>
    <t>ENCAUCHADO-NORI</t>
  </si>
  <si>
    <t>SESGO-T-6-OSCAR-FAC-1753</t>
  </si>
  <si>
    <t>PANTALONETA-NIÑO</t>
  </si>
  <si>
    <t>4-12-</t>
  </si>
  <si>
    <t>REMATE-TIRO</t>
  </si>
  <si>
    <t>DOBLA-NORI</t>
  </si>
  <si>
    <t>DELAN-TRASERO-FAC-1773-OSCAR-T-4</t>
  </si>
  <si>
    <t>DELAN-TRASERO-FAC-1773-OSCAR-T-12</t>
  </si>
  <si>
    <t>PISE-PLANA-FAC-1773-OSCAR</t>
  </si>
  <si>
    <t>DOBLA-FAC-1773-T-4-OSCAR</t>
  </si>
  <si>
    <t>DOBLA-FAC-1773-T-12-OSCAR</t>
  </si>
  <si>
    <t>4-10-</t>
  </si>
  <si>
    <t>DOBLA-FAC-1783-T-10-4-OSCAR</t>
  </si>
  <si>
    <t>CIERE-T-6-FAC-1763-OSCAR-3PAQ</t>
  </si>
  <si>
    <t>CIERE-T6-FAC-1763-OSCAR-9-PAQ</t>
  </si>
  <si>
    <t>REMATE-TIRO-T-12-4-OSCAR-FAC-1773</t>
  </si>
  <si>
    <t>PISE-CAUCHO-T-12-4-OSCAR-FAC-1773</t>
  </si>
  <si>
    <t>ENCAUCHADO-FAC-1773-OSCAR</t>
  </si>
  <si>
    <t>DESPELUSE-1773-OSCAR</t>
  </si>
  <si>
    <t>DESPELUZE-OSCAR-1783</t>
  </si>
  <si>
    <t>JORGE</t>
  </si>
  <si>
    <t>REMATE-CAUCHO-T-12-4-OSCAR-FAC-1773</t>
  </si>
  <si>
    <t>10--4</t>
  </si>
  <si>
    <t>QUINCENA 15 MARZO  AL  31</t>
  </si>
  <si>
    <t>00--4</t>
  </si>
  <si>
    <t>YULI-</t>
  </si>
  <si>
    <t>HOMBROS-T10-OSCAR-1783-</t>
  </si>
  <si>
    <t>HOMBROS-T-4-OSCAR-1783-6-PAQ</t>
  </si>
  <si>
    <t>ENMANGADO-T-10-FAC-1783-OSCAR</t>
  </si>
  <si>
    <t>ENMANGADO-T-4-FAC-1783-OSCAR</t>
  </si>
  <si>
    <t>CIERE-T-10-FAC-1783-OSCAR</t>
  </si>
  <si>
    <t>SESGANDO-6-PAQ-T10-FAC-1783-OSCAR</t>
  </si>
  <si>
    <t>ROLLITO</t>
  </si>
  <si>
    <t>ROLLITO-T10-FAC-1783-OSCAR</t>
  </si>
  <si>
    <t>15/30/2026</t>
  </si>
  <si>
    <t>QUINCENA   15  MARZO    AL  30</t>
  </si>
  <si>
    <t>QUINCENA   15  MARZO   AL  30</t>
  </si>
  <si>
    <t>DOBLADILLO-BOTA</t>
  </si>
  <si>
    <t>BB</t>
  </si>
  <si>
    <t>CHOR-PILLAMA</t>
  </si>
  <si>
    <t>DELAN-TRASERO-NORI-05</t>
  </si>
  <si>
    <t>DOBLA-BOTA-FAC-05-NORI</t>
  </si>
  <si>
    <t>REMATE-T-10-4-FAC-1783-OSCAR</t>
  </si>
  <si>
    <t>PANTALON-PILLAMA</t>
  </si>
  <si>
    <t>CIERE-TIRO</t>
  </si>
  <si>
    <t>ALESANDER</t>
  </si>
  <si>
    <t>DESPELUZE-OLGA</t>
  </si>
  <si>
    <t>DESPELUSE-NORI</t>
  </si>
  <si>
    <t>CAMISILLA BB</t>
  </si>
  <si>
    <t>REMATE CAUCHO-OLGA-FAC</t>
  </si>
  <si>
    <t>CAUCHO-FAC-07-OLGA</t>
  </si>
  <si>
    <t>DELAN-TRASERO-FAC-07-OL</t>
  </si>
  <si>
    <t>SESGANDO-T-6-FAC1783-OSCAR-</t>
  </si>
  <si>
    <t>DIBLA-BOTA-OLGA-FAC-07T14</t>
  </si>
  <si>
    <t>DIBLA-BOTA-OLGA-FAC-07T4</t>
  </si>
  <si>
    <t>PISE-CAUCHO-OLGA-FAC-07</t>
  </si>
  <si>
    <t>PISE-CAUCHO-NORI-FAC-BB</t>
  </si>
  <si>
    <t>CAUCHO-NORI-TBB</t>
  </si>
  <si>
    <t>CIERE-LADO</t>
  </si>
  <si>
    <t>SESGO-CUELLO</t>
  </si>
  <si>
    <t>SESGO-MANGA</t>
  </si>
  <si>
    <t>CIERE-CAMISILLA-NOR-T-BB</t>
  </si>
  <si>
    <t>HOMBRO-CAMISILLA-NORI</t>
  </si>
  <si>
    <t>REMATE-CAUCHO-NORI</t>
  </si>
  <si>
    <t>DOBLA-NORI-T-BB</t>
  </si>
  <si>
    <t>CIERE-T-6-FAC-1783-OSCAR</t>
  </si>
  <si>
    <t>SEGO-MANGA-NORI-NIÑA</t>
  </si>
  <si>
    <t>SEGO-CUELLO-NORI-NIÑA</t>
  </si>
  <si>
    <t>CIERE-TIRO-OLGA-FAC-07-T-4</t>
  </si>
  <si>
    <t>REMATE-TIRO-NORI</t>
  </si>
  <si>
    <t>REMATES-NORI-BB-NIÑA</t>
  </si>
  <si>
    <t>REMATES-NORI-BB-NIÑO</t>
  </si>
  <si>
    <t>SESGO-MANGA-NORI-</t>
  </si>
  <si>
    <t>SESGO-MANGA-CUELLO-NO</t>
  </si>
  <si>
    <t>SESGO-NORI-CUELLO-MANGA</t>
  </si>
  <si>
    <t>SEGO-NORI-CUELLO-MANGAS</t>
  </si>
  <si>
    <t>HOMBRO-OSCAR-FAC-1793-T12</t>
  </si>
  <si>
    <t>HOMBRO-OSCAR-FAC-1793-T6</t>
  </si>
  <si>
    <t>ENMANGO-T12-FAC-1793-OSCAR</t>
  </si>
  <si>
    <t>SESGO-T-12-OSCAR-FAC-1793</t>
  </si>
  <si>
    <t>DOBLA-T12-FAC-1793-OSCAR</t>
  </si>
  <si>
    <t>DESPELUZE-OSCAR-FAC1793-</t>
  </si>
  <si>
    <t>FRANELILLA  BB</t>
  </si>
  <si>
    <t>CHOR-PILLAMA BB</t>
  </si>
  <si>
    <t>6--12</t>
  </si>
  <si>
    <t>12--6</t>
  </si>
  <si>
    <t>4--14</t>
  </si>
  <si>
    <t>VESTIDO NIÑA</t>
  </si>
  <si>
    <t>12-14-8-10</t>
  </si>
  <si>
    <t>REMATE-T-12-4-OSCAR-1793</t>
  </si>
  <si>
    <t>CIERE-T-12-6-FAC1793-OSCAR</t>
  </si>
  <si>
    <t>CIERE-T-6-FAC-1793-OSCAR</t>
  </si>
  <si>
    <t>ENMANGO-T6-FAC-1793-OSCAR</t>
  </si>
  <si>
    <t>CAMISA-NIÑO</t>
  </si>
  <si>
    <t>HOMBROS-OSCAR-1793-FAC-T12</t>
  </si>
  <si>
    <t>VESTIDO</t>
  </si>
  <si>
    <t>DOBLA-FAC-1802-OSCAR-VESTIDO-MANGA</t>
  </si>
  <si>
    <t>DOBLA-FAC-1802-OSCAR-VESTIDO-ABAJO</t>
  </si>
  <si>
    <t>HOMBROS-FAC-1802-OSCAR-T-8-</t>
  </si>
  <si>
    <t>ENMANGO-FAC-1802-T-8</t>
  </si>
  <si>
    <t>CERO-FAC-1802-OSCAR-T8-</t>
  </si>
  <si>
    <t>CUELLO</t>
  </si>
  <si>
    <t>PISE-CUELLO</t>
  </si>
  <si>
    <t>HOMBROS-OLGA-T-12-6</t>
  </si>
  <si>
    <t>ENMANGO-T-12-OLGA</t>
  </si>
  <si>
    <t>SESGO-OLGA-MANGA-</t>
  </si>
  <si>
    <t>SESGO-OLGA-CUELLO-</t>
  </si>
  <si>
    <t>REMATE-OLGA</t>
  </si>
  <si>
    <t>DOBLADILLO -OLGA</t>
  </si>
  <si>
    <t>ENMNAGAR TALLA 6- OLGA</t>
  </si>
  <si>
    <t>CIERE -OLGA T6</t>
  </si>
  <si>
    <t>CIERRE - OLGA 6 PAQUETES T12</t>
  </si>
  <si>
    <t>CIERRE - OLGA 2 PAQUETES T12</t>
  </si>
  <si>
    <t>ALEXIS</t>
  </si>
  <si>
    <t>CIERRE FAC-1802- OSCAR T10</t>
  </si>
  <si>
    <t>CIERRE FAC-1802- OSCAR T14</t>
  </si>
  <si>
    <t>HOMBROS-FAC-1802-OSCAR-T-12</t>
  </si>
  <si>
    <t>ENMANGO-FAC-1802-T-12</t>
  </si>
  <si>
    <t>CERO-FAC-1802-OSCAR-T-12-</t>
  </si>
  <si>
    <t>CUELLO-OSCAR-FAC-1802-VESTIDO</t>
  </si>
  <si>
    <t>PISE-CUELLO-OSCAR-FAC-1802-VESTIDO</t>
  </si>
  <si>
    <t>DEZPELUZE-OSCAR</t>
  </si>
  <si>
    <t>HOMBRO-T-10-FAC-1802-OSCAR-VESTIDO</t>
  </si>
  <si>
    <t>ENMANGO-T-10-FAC-1802-OSCAR-VESTIDO</t>
  </si>
  <si>
    <t>HOMBRO-T14-FAC-1802-OSCAR-VESTIDO</t>
  </si>
  <si>
    <t>ENMANGO-T-14-FAC-1802-OSCAR-VESTIDO</t>
  </si>
  <si>
    <t>IMPRIUM</t>
  </si>
  <si>
    <t>DELANTERO</t>
  </si>
  <si>
    <t>TRASERO</t>
  </si>
  <si>
    <t>ENCAUCHADO</t>
  </si>
  <si>
    <t>TRASERO-CHOR-VAÑO-OLGA</t>
  </si>
  <si>
    <t>DELANTERO-CHOR-VAÑO-OL</t>
  </si>
  <si>
    <t>DOBLADILLO-CHORS-OLGA</t>
  </si>
  <si>
    <t>ENCAUCHADO-OLGA-VAÑO</t>
  </si>
  <si>
    <t>ALEZ</t>
  </si>
  <si>
    <t>REMATE-OLGA-BAÑO</t>
  </si>
  <si>
    <t>CIERE-LADO-OLGA</t>
  </si>
  <si>
    <t>TIRO-OLGA-BAÑO</t>
  </si>
  <si>
    <t>MAMELUCO</t>
  </si>
  <si>
    <t>ENMANGADO</t>
  </si>
  <si>
    <t>CERAR</t>
  </si>
  <si>
    <t>PUÑO</t>
  </si>
  <si>
    <t>SESGO-ABAJO</t>
  </si>
  <si>
    <t>MARTINGALA</t>
  </si>
  <si>
    <t>REMATE-CUELLO-PLA</t>
  </si>
  <si>
    <t>REMATE-FILETE</t>
  </si>
  <si>
    <t>QUINCENA 01 ABRIL  AL  15</t>
  </si>
  <si>
    <t>SHORT-BAÑO</t>
  </si>
  <si>
    <t>04--08--14</t>
  </si>
  <si>
    <t xml:space="preserve">MONGUI </t>
  </si>
  <si>
    <t>FORBABY</t>
  </si>
  <si>
    <t>UNICA</t>
  </si>
  <si>
    <t>DELAN-TRASER TALLA 4 OSCAR-FAC-1803</t>
  </si>
  <si>
    <t>DELAN-TRASER TALLA 14 OSCAR-FAC1803</t>
  </si>
  <si>
    <t>ENCAUCHAR T 4-8-14 OSCAR-FAC-1803</t>
  </si>
  <si>
    <t>DELANT-TRASER- T8 OSCAR -FAC-1803</t>
  </si>
  <si>
    <t>REMATE-CAUCHO-OSCAR-FAC-1803</t>
  </si>
  <si>
    <t>DOBLADI-OSCAR-PANTALONETA-FAC1803</t>
  </si>
  <si>
    <t>PISE-PLANA-OSCAR-FAC-1803-</t>
  </si>
  <si>
    <t>DELAN TRASERO-T8-OSCAR-FAC-1803-</t>
  </si>
  <si>
    <t>TIROS-OSCAR-T-4-FAC-1803-</t>
  </si>
  <si>
    <t>DESPELUZE-OSCAR-FAC-1803</t>
  </si>
  <si>
    <t>FORBEIBI</t>
  </si>
  <si>
    <t>CONJUNTO</t>
  </si>
  <si>
    <t>PILLAMA-PANTALON</t>
  </si>
  <si>
    <t>ARMAR-PUÑO</t>
  </si>
  <si>
    <t>DELAN-TRASERO-T18-12-9-6-BB</t>
  </si>
  <si>
    <t>TIROS-OSCAR-T-14-FAC-1803-</t>
  </si>
  <si>
    <t>TIROS-OSCAR-T-8-FAC-4-1803-T4-184</t>
  </si>
  <si>
    <t>PISE-CAUCHO-OSCAR-FAC-1803-</t>
  </si>
  <si>
    <t>TIROS BB-T18-12-9-6-</t>
  </si>
  <si>
    <t>CAUCHO-BB-T-18-12-9-6-</t>
  </si>
  <si>
    <t>MARTINGALA-BB-T18-12-9-6-</t>
  </si>
  <si>
    <t>unir-sesgo</t>
  </si>
  <si>
    <t>UNIR-SESGO-BB-FORBEIBI</t>
  </si>
  <si>
    <t>SESGO-ABAJO-FORBEIBI</t>
  </si>
  <si>
    <t>8--10</t>
  </si>
  <si>
    <t>SHORT BAÑO</t>
  </si>
  <si>
    <t>6--4</t>
  </si>
  <si>
    <t>DOBLADILLO OLGA ABAJO T8-10</t>
  </si>
  <si>
    <t xml:space="preserve">TRASERO </t>
  </si>
  <si>
    <t>PISE PLANA 1</t>
  </si>
  <si>
    <t>PISE PLANA 2</t>
  </si>
  <si>
    <t xml:space="preserve">SHORT UNICOLOR </t>
  </si>
  <si>
    <t>TRASERO-T8-OLGA-BAÑO</t>
  </si>
  <si>
    <t>DELANTERO-T8-OLGA-BAÑO</t>
  </si>
  <si>
    <t>TIRO-T8-OLGA-BAÑO</t>
  </si>
  <si>
    <t>CAUCHO-OLGA-BAÑO-8-10</t>
  </si>
  <si>
    <t>DELANTERO-T10-OLGA-BAÑO</t>
  </si>
  <si>
    <t>TRASERO-T10-OLGA-BAÑO</t>
  </si>
  <si>
    <t>CIERE-T10-OLGA-BAÑO</t>
  </si>
  <si>
    <t>TIRO-T-10-OLGA-BAÑO</t>
  </si>
  <si>
    <t>CIERE-T8-OLGA-BAÑO</t>
  </si>
  <si>
    <t>PISE-CAUCHO-OLGA-BAÑO</t>
  </si>
  <si>
    <t>REMATE-CAUCHO-OLGA-BAÑO</t>
  </si>
  <si>
    <t>DESPELUZE-BAÑO-OLGA</t>
  </si>
  <si>
    <t>TRASERO-T-4-10-FAC-1811-OSCAR-</t>
  </si>
  <si>
    <t>DELANTERO-T-4-10-FAC-1811-OSCAR</t>
  </si>
  <si>
    <t>TIRO-T-4-10-FAC-1811-OSCAR</t>
  </si>
  <si>
    <t>TRASERO-T-8-12-FAC-1811-OSCAR-</t>
  </si>
  <si>
    <t>DELANTERO-T-8-12-FAC-1811-OSCAR</t>
  </si>
  <si>
    <t>TIRO-T-8-12-FAC-1811-OSCAR</t>
  </si>
  <si>
    <t>TRASERO-T-6-FAC-1811-OSCAR-</t>
  </si>
  <si>
    <t>DELANTERO-T6-FAC-1811-OSCAR</t>
  </si>
  <si>
    <t>TIRO-T-6-FAC-1811-OSCAR</t>
  </si>
  <si>
    <t>TRASERO-T-14-FAC-1811-OSCAR-</t>
  </si>
  <si>
    <t>DELANTERO-14-FAC-1811-OSCAR</t>
  </si>
  <si>
    <t>TIRO-T-14-FAC-1811-OSCAR</t>
  </si>
  <si>
    <t>ARMAR-BOTA</t>
  </si>
  <si>
    <t>ARMAR-BOTA-BB</t>
  </si>
  <si>
    <t>PANTALONETA-COLOR</t>
  </si>
  <si>
    <t>01/15/2026</t>
  </si>
  <si>
    <t>E11306</t>
  </si>
  <si>
    <t xml:space="preserve">CAMISA DE BAÑO </t>
  </si>
  <si>
    <t>HOMBROS-BB-FORBEIBI</t>
  </si>
  <si>
    <t>ENMANGO-BB-T-6-60-T-18</t>
  </si>
  <si>
    <t>SESGO-FAC-1811-OSCAR-1-PATA</t>
  </si>
  <si>
    <t>BUSO-BAÑO</t>
  </si>
  <si>
    <t>1/15/2026</t>
  </si>
  <si>
    <t>CAUCHO-FAC-1811-OSCAR-</t>
  </si>
  <si>
    <t>SESGO-FAC-1811-OSCAR-2-PATA</t>
  </si>
  <si>
    <t>14--12</t>
  </si>
  <si>
    <t>BUSO-BAÑO-OLGA-</t>
  </si>
  <si>
    <t>DOBLADILLO-OLGA-BAÑO-ABAJO</t>
  </si>
  <si>
    <t>DOBLDILLO-OLGA-MANGA</t>
  </si>
  <si>
    <t>CUELLO-BAÑO-OLGA-T-14-12</t>
  </si>
  <si>
    <t>PISE-CUELLO-OLGA-BAÑO</t>
  </si>
  <si>
    <t>SHORT TRAGE-BAÑO</t>
  </si>
  <si>
    <t>CHOR OLGA-BAÑO</t>
  </si>
  <si>
    <t>CHOR-OLGA-BAÑO</t>
  </si>
  <si>
    <t>CAUCHO OLGA BAÑO</t>
  </si>
  <si>
    <t>DOBLADILLO-OLGA-BAÑO</t>
  </si>
  <si>
    <t>SHOR-BAÑO</t>
  </si>
  <si>
    <t>REMATE-CAUCHO-FORBEIBI</t>
  </si>
  <si>
    <t>REMATE-CAUCHO-OSCAR-FAC-1811</t>
  </si>
  <si>
    <t>SESGO-FAC-1811-OSCAR-1PATA</t>
  </si>
  <si>
    <t>PISE-PLANA-1-FAC-1811-OSCAR</t>
  </si>
  <si>
    <t>DEZPELUSE--OSACR</t>
  </si>
  <si>
    <t>DESPELUSE--OLGA</t>
  </si>
  <si>
    <t>CAMISA  PIJAMA</t>
  </si>
  <si>
    <t>12--14</t>
  </si>
  <si>
    <t>ENMANGO-BB--T-9-MESES</t>
  </si>
  <si>
    <t>HOMBRO-OLGA-FAC-12-T-4-</t>
  </si>
  <si>
    <t>CIERE-OLGA-FAC-12-T14</t>
  </si>
  <si>
    <t>MANGA-OLGA-FAC-12-T14</t>
  </si>
  <si>
    <t>HOMBRO-OLGA-FAC-12-T-14</t>
  </si>
  <si>
    <t>MANGA-OLGA-FAC-12-T4</t>
  </si>
  <si>
    <t>DOBLA-MANGA-OLGA-T14-FAC-12</t>
  </si>
  <si>
    <t>CAMISA-PILLAMA</t>
  </si>
  <si>
    <t>DOBLA-MANGA-OSCAR-T-8-4-FAC-1831</t>
  </si>
  <si>
    <t>DOBLA-ABAJO-OLGA-T14-FAC-12</t>
  </si>
  <si>
    <t>UNIR-SESGO-OLGA-</t>
  </si>
  <si>
    <t>SESGO-OLGA-FAC12-T14-4</t>
  </si>
  <si>
    <t>HOMBRO-T8-OSCAR-FAC-1831</t>
  </si>
  <si>
    <t>ENMANGO-T8-OSCAR-FAC-1831</t>
  </si>
  <si>
    <t>HOMBRO-T4-OSCAR-FAC-1831</t>
  </si>
  <si>
    <t>ENMANGO-T4-OSCAR-FAC-1831</t>
  </si>
  <si>
    <t>DOBLA-ABAJO-OSCAR-T-8-4-FAC-1831</t>
  </si>
  <si>
    <t>SESGO-OSCAR-FAC1831-T8-4</t>
  </si>
  <si>
    <t>CIERE-OSCAR-FAC-1831-T-4</t>
  </si>
  <si>
    <t>CIERE-OSCAR-FAC-1831-T-8</t>
  </si>
  <si>
    <t>8--4</t>
  </si>
  <si>
    <t>MONTAR-BOTA</t>
  </si>
  <si>
    <t>BOTA-BB-T-MESES</t>
  </si>
  <si>
    <t>SHORT RIB</t>
  </si>
  <si>
    <t>PANTALON RIB</t>
  </si>
  <si>
    <t>BLUSA TIRAS RIB</t>
  </si>
  <si>
    <t>CAMISA PIJAMA BB</t>
  </si>
  <si>
    <t>T 1-2-3</t>
  </si>
  <si>
    <t>SESGO TIRA</t>
  </si>
  <si>
    <t>REMATES-LADO</t>
  </si>
  <si>
    <t>DELAN--TRASERO</t>
  </si>
  <si>
    <t>CIERE  TIRO</t>
  </si>
  <si>
    <t>REMATE  CAUCHO</t>
  </si>
  <si>
    <t>CHOR-RIB</t>
  </si>
  <si>
    <t>TODA</t>
  </si>
  <si>
    <t>DOBLADILLO--OSCAR-FAC1844</t>
  </si>
  <si>
    <t>DELANTRASERO-FAC-1844-T-4-8-OSCAR</t>
  </si>
  <si>
    <t>TIRO-FAC-1844-T-8-4-OSCAR-</t>
  </si>
  <si>
    <t>DELANTRASERO-FAC-1844-T--6-12-OSCAR</t>
  </si>
  <si>
    <t>TIRO-FAC-1844-T--6-12-OSCAR-</t>
  </si>
  <si>
    <t>DELANTRASERO-FAC-1844-T-14-10-OSCAR</t>
  </si>
  <si>
    <t>TIRO-FAC-1844-T-14-10-OSCAR-</t>
  </si>
  <si>
    <t>ENCAUCHADO-OSCAR-FAC-1844</t>
  </si>
  <si>
    <t>PISE-CAUCHO-FAC-1844-OSCAR</t>
  </si>
  <si>
    <t>REMATE-CAUCHO-OSCAR-FAC-1844</t>
  </si>
  <si>
    <t>DESPELUZE-OSCAR-FAC-1844</t>
  </si>
  <si>
    <t>CIERE- LADO-FAC-1845-T-12-6-OSCAR</t>
  </si>
  <si>
    <t>CIERE- LADO-FAC-1845-T-4-8-OSCAR</t>
  </si>
  <si>
    <t>CIERE- LADO-FAC-1845-T-14-10--OSCAR</t>
  </si>
  <si>
    <t>DOBLADILLO-FAC-1845-ABAJO-OSCAR</t>
  </si>
  <si>
    <t>COOLOKIDS</t>
  </si>
  <si>
    <t>BLUSA-TIRA-RIB</t>
  </si>
  <si>
    <t>SESGO-FAC-1845-OSCAR-TIRA</t>
  </si>
  <si>
    <t>SESGO-FAC-1845-OSCAR-CUELLO</t>
  </si>
  <si>
    <t>REMATE-LADO-FAC1845-OSCAR</t>
  </si>
  <si>
    <t>DESPELUSE           DESPELUZE</t>
  </si>
  <si>
    <t>BLUSA-TIRAS RIB</t>
  </si>
  <si>
    <t>PANTALON-RIB</t>
  </si>
  <si>
    <t>CIERE-OLGA-FAC-12-T4</t>
  </si>
  <si>
    <t>JOGE</t>
  </si>
  <si>
    <t>PISE PANTALO--BBB</t>
  </si>
  <si>
    <t>CAMISA-PILLAMA NIÑO</t>
  </si>
  <si>
    <t>ENCAUCHADO-RIB-CHOR-OSCAR-FAC-1842</t>
  </si>
  <si>
    <t>DELANTRASERO-FAC-1842-OSCAR-T-8-4-14</t>
  </si>
  <si>
    <t>DELANTRASERO-FAC-1842-OSCAR-T-12-10-6</t>
  </si>
  <si>
    <t>TIRO-FAC-1842-OSCAR-T8-4-14-</t>
  </si>
  <si>
    <t>DOBLADILLO-FAC1842-OSCAR</t>
  </si>
  <si>
    <t>DOBLADILLO-FAC-1843</t>
  </si>
  <si>
    <t>YA-ESTA-PAGO--1404</t>
  </si>
  <si>
    <t>CIERE-LADO-OSCAR-TIRA-FAC-1843-RIB</t>
  </si>
  <si>
    <t>UNIR-SESGO</t>
  </si>
  <si>
    <t>BUSO-BB</t>
  </si>
  <si>
    <t>HOMBRO-T-1-BB-OLGA</t>
  </si>
  <si>
    <t>HOMBRO-T-2-BB-OLGA</t>
  </si>
  <si>
    <t>ROSALI</t>
  </si>
  <si>
    <t>HOMBROS-T-3-BB-OLGA</t>
  </si>
  <si>
    <t>CIERE-T-1-OLGA-FAC-13-BB</t>
  </si>
  <si>
    <t>PAGO</t>
  </si>
  <si>
    <t>CIERE-T-2-OLGA-FAC-13-BB</t>
  </si>
  <si>
    <t>DAMALIS</t>
  </si>
  <si>
    <t>DOBLA-OLGA-BB-MANGA</t>
  </si>
  <si>
    <t>DOBLA-OLGA-BB-ABAJO</t>
  </si>
  <si>
    <t>PRESTAMO OSCAR</t>
  </si>
  <si>
    <t>REMATES-OSCAR-1831-</t>
  </si>
  <si>
    <t>UNIR-SESGO-OSCAR-RIB</t>
  </si>
  <si>
    <t>ANDREA</t>
  </si>
  <si>
    <t>QUINCENA 15 ABRIL  AL  30</t>
  </si>
  <si>
    <t>ENMANGO-T-3-OLGA</t>
  </si>
  <si>
    <t>ENMANGO-T-1-OLGA</t>
  </si>
  <si>
    <t>ENMANGO-T-2-OLGA</t>
  </si>
  <si>
    <t>REMATE-PANTALON-FAC1842</t>
  </si>
  <si>
    <t>PISE CAUCHO-RIB</t>
  </si>
  <si>
    <t>SEGO-TIRA-OSCAR</t>
  </si>
  <si>
    <t>SEGO-CUELLO</t>
  </si>
  <si>
    <t>REMATE TIRA-OSCAR-RIB</t>
  </si>
  <si>
    <t>PANTALON PILLAMA</t>
  </si>
  <si>
    <t>TIRO CIERE-8</t>
  </si>
  <si>
    <t>TIRO-TIRO-14-4</t>
  </si>
  <si>
    <t>TIRO-TIRO-10</t>
  </si>
  <si>
    <t>CIERE-10</t>
  </si>
  <si>
    <t>CIERE--14--4</t>
  </si>
  <si>
    <t>TIRO-TIRO---12--6</t>
  </si>
  <si>
    <t>CIERE--12--6</t>
  </si>
  <si>
    <t>LINA</t>
  </si>
  <si>
    <t>ARGOS-LINA</t>
  </si>
  <si>
    <t>CIERE-T-3-OLGA-FAC-13-BB</t>
  </si>
  <si>
    <t xml:space="preserve">BLUSANIÑA COLOMBIA </t>
  </si>
  <si>
    <t>SHORT PIJAMA</t>
  </si>
  <si>
    <t>4--8--12</t>
  </si>
  <si>
    <t>6--10--12--14</t>
  </si>
  <si>
    <t>0--22</t>
  </si>
  <si>
    <t>TALLA 8</t>
  </si>
  <si>
    <t>QUINCENA 1 MAYO  AL  15</t>
  </si>
  <si>
    <t>BUZON DAMA</t>
  </si>
  <si>
    <t>BLUSA COLOMBIA</t>
  </si>
  <si>
    <t>10-12-14-</t>
  </si>
  <si>
    <t>PISE-CAUCHO-T</t>
  </si>
  <si>
    <t>CHOR-NIÑO</t>
  </si>
  <si>
    <t>6-10-12-14-</t>
  </si>
  <si>
    <t>BLUSA PIJAMA</t>
  </si>
  <si>
    <t>NORY</t>
  </si>
  <si>
    <t>2--4</t>
  </si>
  <si>
    <t>10--8</t>
  </si>
  <si>
    <t xml:space="preserve">BLUZON DAMA </t>
  </si>
  <si>
    <t xml:space="preserve">VESTIDO DE BAÑO </t>
  </si>
  <si>
    <t>4-8-</t>
  </si>
  <si>
    <t>CAUCHO</t>
  </si>
  <si>
    <t>BOTA</t>
  </si>
  <si>
    <t>PISE</t>
  </si>
  <si>
    <t>DELAN</t>
  </si>
  <si>
    <t>DELANTRASER</t>
  </si>
  <si>
    <t>BLUSON DAMA</t>
  </si>
  <si>
    <t>6--8</t>
  </si>
  <si>
    <t>PROMEDIO</t>
  </si>
  <si>
    <t>PANTALONETA BB</t>
  </si>
  <si>
    <t>CAMISA COLORES</t>
  </si>
  <si>
    <t>PANTALONETA NIÑA</t>
  </si>
  <si>
    <t>10--12</t>
  </si>
  <si>
    <t>BUZO DE BAÑO</t>
  </si>
  <si>
    <t>PANTALONETA COLORES</t>
  </si>
  <si>
    <t>ANIBAL</t>
  </si>
  <si>
    <t>LICRA</t>
  </si>
  <si>
    <t>U</t>
  </si>
  <si>
    <t>T2</t>
  </si>
  <si>
    <t>QUINCENA 15 MAYO  AL  30</t>
  </si>
  <si>
    <t>QUINCENA 1 JUNIO  AL  15</t>
  </si>
  <si>
    <t>PANTALONETA NBA</t>
  </si>
  <si>
    <t>14--6</t>
  </si>
  <si>
    <t>8--14--10</t>
  </si>
  <si>
    <t>BUZO COLOMBIA</t>
  </si>
  <si>
    <t xml:space="preserve">ENMANGO BLUSON DAMA </t>
  </si>
  <si>
    <t xml:space="preserve">PISE PLANA 1-- 2 </t>
  </si>
  <si>
    <t>CERO BLUSON DAMA</t>
  </si>
  <si>
    <t>MONTO CUELLO</t>
  </si>
  <si>
    <t>PISE PLANA  1--2-</t>
  </si>
  <si>
    <t>PANTALONETA  NIÑO</t>
  </si>
  <si>
    <t>BLUZON COLOMBIA</t>
  </si>
  <si>
    <t>CAMISA NIÑA CARO</t>
  </si>
  <si>
    <t>4--6--8</t>
  </si>
  <si>
    <t>14/10/4/8</t>
  </si>
  <si>
    <t>24/062026</t>
  </si>
  <si>
    <t>QUINCENA 15 JUNIO  AL  30</t>
  </si>
  <si>
    <t>PANTALONETA COLOMBIA</t>
  </si>
  <si>
    <t>CAMISA COLOMBIA</t>
  </si>
  <si>
    <t>4--6--8--12</t>
  </si>
  <si>
    <t>QUINCENA 15 JUNIO AL 30</t>
  </si>
  <si>
    <t>ENMNGAR</t>
  </si>
  <si>
    <t xml:space="preserve">DOBLADILLO MANGA </t>
  </si>
  <si>
    <t>HOMBROS TALLA 14</t>
  </si>
  <si>
    <t>HOMBROS TALLA 4</t>
  </si>
  <si>
    <t>CIERRE TALLA 14</t>
  </si>
  <si>
    <t xml:space="preserve">DAMELIS </t>
  </si>
  <si>
    <t xml:space="preserve">CIERRE TALLA 4 </t>
  </si>
  <si>
    <t xml:space="preserve"> DOBLADILLO MANGA </t>
  </si>
  <si>
    <t xml:space="preserve">DOBLADILLO ABAJO </t>
  </si>
  <si>
    <t>ENMAGAR T4</t>
  </si>
  <si>
    <t xml:space="preserve">ALEJANDRA </t>
  </si>
  <si>
    <t>ENMANGAR T14</t>
  </si>
  <si>
    <t xml:space="preserve">JORJE </t>
  </si>
  <si>
    <t xml:space="preserve">SESGO CUELLO </t>
  </si>
  <si>
    <t xml:space="preserve">COOLKIDS </t>
  </si>
  <si>
    <t>CAMISA BEISBALL</t>
  </si>
  <si>
    <t xml:space="preserve">ROSALIN </t>
  </si>
  <si>
    <t xml:space="preserve">ARGENIS </t>
  </si>
  <si>
    <t>CIERRE T6</t>
  </si>
  <si>
    <t>CIERRE T4</t>
  </si>
  <si>
    <t xml:space="preserve">QUINCENA 15 JUNIO 30 </t>
  </si>
  <si>
    <t xml:space="preserve">NORY </t>
  </si>
  <si>
    <t xml:space="preserve">SHORT NIÑA </t>
  </si>
  <si>
    <t xml:space="preserve">ENCAUCHADO </t>
  </si>
  <si>
    <t xml:space="preserve">REMATE DE CAUCHO </t>
  </si>
  <si>
    <t xml:space="preserve">PANT COLOMBIA </t>
  </si>
  <si>
    <t xml:space="preserve">DELANT-TRASERO </t>
  </si>
  <si>
    <t xml:space="preserve">REMATE TIRO </t>
  </si>
  <si>
    <t xml:space="preserve">DOBLADILLO BOTA </t>
  </si>
  <si>
    <t xml:space="preserve">PISO CACUCHO </t>
  </si>
  <si>
    <t xml:space="preserve">JORGE </t>
  </si>
  <si>
    <t>S</t>
  </si>
  <si>
    <t>CIERRE T6,T4,,T8</t>
  </si>
  <si>
    <t xml:space="preserve"> HOMBTOS T4,T6</t>
  </si>
  <si>
    <t>CIERRE T12</t>
  </si>
  <si>
    <t>HOMBROS T8,T12</t>
  </si>
  <si>
    <t>ENMANGADO T4,T6</t>
  </si>
  <si>
    <t>ENMANGADO T8</t>
  </si>
  <si>
    <t>ENMANGADO T12</t>
  </si>
  <si>
    <t xml:space="preserve">SESGO DE MANGA </t>
  </si>
  <si>
    <t xml:space="preserve">CIERRE T8 </t>
  </si>
  <si>
    <t>HOMBROS T4</t>
  </si>
  <si>
    <t>ENMANGAR T4,T6</t>
  </si>
  <si>
    <t xml:space="preserve">ENMAGAR T8 </t>
  </si>
  <si>
    <t xml:space="preserve">DOBLADILLO DE ABAJO </t>
  </si>
  <si>
    <t xml:space="preserve"> HOMBROS T6,T8 </t>
  </si>
  <si>
    <t>4--8--12--16</t>
  </si>
  <si>
    <t>QUINCENA 01 JULIO  AL  15</t>
  </si>
  <si>
    <t xml:space="preserve">IMPERIUM </t>
  </si>
  <si>
    <t xml:space="preserve">VESTIDO NIÑA </t>
  </si>
  <si>
    <t xml:space="preserve">DOBLADILLO DE MANGA </t>
  </si>
  <si>
    <t xml:space="preserve">PISE PLANA </t>
  </si>
  <si>
    <t xml:space="preserve">ENCAUCHADA </t>
  </si>
  <si>
    <t xml:space="preserve">PISE CACUCHO </t>
  </si>
  <si>
    <t>4-6-8-10-12-14</t>
  </si>
  <si>
    <t xml:space="preserve">REMATE  CAUCHO </t>
  </si>
  <si>
    <t>HOMBROS T12,T16</t>
  </si>
  <si>
    <t>ENMANGAR T8,T12</t>
  </si>
  <si>
    <t xml:space="preserve">UNIR SESGO </t>
  </si>
  <si>
    <t xml:space="preserve">DOBLADILLO MANGA VESTIDO </t>
  </si>
  <si>
    <t xml:space="preserve">CRISTRIAN </t>
  </si>
  <si>
    <t>HOMBROS T8</t>
  </si>
  <si>
    <t>ENMANGAR T4,16</t>
  </si>
  <si>
    <t>CIERRE T12,</t>
  </si>
  <si>
    <t>CIERRE T8,</t>
  </si>
  <si>
    <t xml:space="preserve">ENCAUCHO TODO </t>
  </si>
  <si>
    <t xml:space="preserve">DOBLADILLO TODO </t>
  </si>
  <si>
    <t>DELAN-TRASERO T12,T10</t>
  </si>
  <si>
    <t>DELANT- TRASERO 14</t>
  </si>
  <si>
    <t>DELAN- TRASERO T8</t>
  </si>
  <si>
    <t xml:space="preserve">PANTALONETA NIÑA </t>
  </si>
  <si>
    <t xml:space="preserve">SHORT BENGALINA </t>
  </si>
  <si>
    <t xml:space="preserve">PISE CAUCHO </t>
  </si>
  <si>
    <t xml:space="preserve">DELANT TRASERO </t>
  </si>
  <si>
    <t xml:space="preserve">PLANA </t>
  </si>
  <si>
    <t xml:space="preserve">REMATE CAUCHO </t>
  </si>
  <si>
    <t xml:space="preserve">ANDREA </t>
  </si>
  <si>
    <t xml:space="preserve">PISE DE CAUCHO </t>
  </si>
  <si>
    <t xml:space="preserve">QUINCENA 01 JULIO - 15 DE JULIO </t>
  </si>
  <si>
    <t xml:space="preserve">ARMAR BOLSILLO </t>
  </si>
  <si>
    <t xml:space="preserve">PEGAR BOLSILLO </t>
  </si>
  <si>
    <t xml:space="preserve">CIERRE DE LADO </t>
  </si>
  <si>
    <t xml:space="preserve">REMATE DE TIRO </t>
  </si>
  <si>
    <t xml:space="preserve">SESGO TIRA </t>
  </si>
  <si>
    <t xml:space="preserve">PISAR BOLSILLO </t>
  </si>
  <si>
    <t xml:space="preserve">PEGAR TIRA </t>
  </si>
  <si>
    <t>6--10--14</t>
  </si>
  <si>
    <t xml:space="preserve">PANTALONETA CONJ NIÑO </t>
  </si>
  <si>
    <t xml:space="preserve">TIRO DELANTERO </t>
  </si>
  <si>
    <t xml:space="preserve">TIRO TRASERO </t>
  </si>
  <si>
    <t xml:space="preserve"> DESPELUZE </t>
  </si>
  <si>
    <t>PANTALONETA CONJ NIÑO</t>
  </si>
  <si>
    <t>TALLA4</t>
  </si>
  <si>
    <t xml:space="preserve">PANTALONETA DE COLORES </t>
  </si>
  <si>
    <t>DELANT TRASERO T4,T6</t>
  </si>
  <si>
    <t>REMATE DE TIRO T,4,6,8</t>
  </si>
  <si>
    <t>6TALLAS</t>
  </si>
  <si>
    <t>REMATE DE TIRO T,10,12,14</t>
  </si>
  <si>
    <t xml:space="preserve">QUINCENA 01 JULIO AL 15 JULIO </t>
  </si>
  <si>
    <t>6---10</t>
  </si>
  <si>
    <t>PANTALONETA  COLORES</t>
  </si>
  <si>
    <t xml:space="preserve">CAMISA NIÑO LARGA </t>
  </si>
  <si>
    <t>PANTALONETA CONJ NBA</t>
  </si>
  <si>
    <t xml:space="preserve">ENMANGAR  </t>
  </si>
  <si>
    <t>4--12--14</t>
  </si>
  <si>
    <t xml:space="preserve">DOBLADILLO BAJO </t>
  </si>
  <si>
    <t xml:space="preserve">HOMBROS T6 </t>
  </si>
  <si>
    <t xml:space="preserve">ENMANGADO T6 </t>
  </si>
  <si>
    <t xml:space="preserve">ENMANGADO T10 </t>
  </si>
  <si>
    <t xml:space="preserve">AREGENIS </t>
  </si>
  <si>
    <t xml:space="preserve">HOMBROS T10 </t>
  </si>
  <si>
    <t xml:space="preserve">AREGNIS </t>
  </si>
  <si>
    <t>CAMISA L AR. NIÑO PIJAMA</t>
  </si>
  <si>
    <t xml:space="preserve">PANTALONETA CONJ NBA </t>
  </si>
  <si>
    <t xml:space="preserve">REMATE TIRO CAUCHO </t>
  </si>
  <si>
    <t xml:space="preserve">PISE PLNA </t>
  </si>
  <si>
    <t xml:space="preserve">PANTALONETA CONJUNTO NBA </t>
  </si>
  <si>
    <t>4--6--8--10--12--1</t>
  </si>
  <si>
    <t>CAMISA CONJUNTO NIÑO</t>
  </si>
  <si>
    <t xml:space="preserve">DOBLADILLLO MANGA </t>
  </si>
  <si>
    <t xml:space="preserve">REMATE CAMISA </t>
  </si>
  <si>
    <t xml:space="preserve"> MONGUI </t>
  </si>
  <si>
    <t xml:space="preserve">ENMANGADO </t>
  </si>
  <si>
    <t>4--8--12--</t>
  </si>
  <si>
    <t xml:space="preserve">QUINCENA 15 JULIO AL 30 JULIO </t>
  </si>
  <si>
    <t xml:space="preserve">CAMISA CJN NIÑA </t>
  </si>
  <si>
    <t>ENMANGAR T4</t>
  </si>
  <si>
    <t xml:space="preserve">ENMANGAR T14  </t>
  </si>
  <si>
    <t>ENMANGART4</t>
  </si>
  <si>
    <t>CIERRE T14</t>
  </si>
  <si>
    <t>SESGO T12</t>
  </si>
  <si>
    <t>DOBLADILLOABAJO</t>
  </si>
  <si>
    <t xml:space="preserve">SESGO T4 T14 </t>
  </si>
  <si>
    <t>HOMBROS T14</t>
  </si>
  <si>
    <t>HOMBROS T12</t>
  </si>
  <si>
    <t xml:space="preserve">YUI </t>
  </si>
  <si>
    <t>ENMANGO T12</t>
  </si>
  <si>
    <t>QUINCENA 15 JULIO  AL  30</t>
  </si>
  <si>
    <t>10--14</t>
  </si>
  <si>
    <t xml:space="preserve">CAMISA BEISBOLERA LISA BURDA </t>
  </si>
  <si>
    <t xml:space="preserve">SHORT BEISBOLERA LISA BURDA </t>
  </si>
  <si>
    <t>4--6--8--10--12--14</t>
  </si>
  <si>
    <t xml:space="preserve">PANTALON PIJAMA </t>
  </si>
  <si>
    <t xml:space="preserve">TODAS </t>
  </si>
  <si>
    <t xml:space="preserve">EMANGO T12 </t>
  </si>
  <si>
    <t>ENMANGO T8</t>
  </si>
  <si>
    <t xml:space="preserve">CAMISA ROLLITO </t>
  </si>
  <si>
    <t>ENMANGADO T14</t>
  </si>
  <si>
    <t xml:space="preserve">CIERRE T10 </t>
  </si>
  <si>
    <t>DOBLADILLO DE MANGA</t>
  </si>
  <si>
    <t>SESGO T4</t>
  </si>
  <si>
    <t xml:space="preserve">HOMOBRO T8 </t>
  </si>
  <si>
    <t xml:space="preserve">ENMANGAR T10 </t>
  </si>
  <si>
    <t>SESGO T14</t>
  </si>
  <si>
    <t xml:space="preserve">SESGO T10 </t>
  </si>
  <si>
    <t>SESGO T8</t>
  </si>
  <si>
    <t xml:space="preserve">CIERRE T4 </t>
  </si>
  <si>
    <t xml:space="preserve">DESPELUCE </t>
  </si>
  <si>
    <t xml:space="preserve">HOMBRO T12 </t>
  </si>
  <si>
    <t>CAMISA  PIJAMA NIÑA ROYITO</t>
  </si>
  <si>
    <t>CHOR BEISBOLERO</t>
  </si>
  <si>
    <t>CIERE LADO</t>
  </si>
  <si>
    <t>CAJON</t>
  </si>
  <si>
    <t>CAMISA BEISBOLERA</t>
  </si>
  <si>
    <t>12-8-6-4-</t>
  </si>
  <si>
    <t xml:space="preserve"> CX1</t>
  </si>
  <si>
    <t>DOBLADILLO  MANGA</t>
  </si>
  <si>
    <t>DOBLADILLO  ABAJO</t>
  </si>
  <si>
    <t>14-10-</t>
  </si>
  <si>
    <t>14--10</t>
  </si>
  <si>
    <t>PANTALONETA NBA BB</t>
  </si>
  <si>
    <t>1--2--3</t>
  </si>
  <si>
    <t>FRANELILLA</t>
  </si>
  <si>
    <t>CAMISA BURDA</t>
  </si>
  <si>
    <t>MANGAS</t>
  </si>
  <si>
    <t>REMATE CUELLO</t>
  </si>
  <si>
    <t>COLKIDS</t>
  </si>
  <si>
    <t>DELANTRASER T-2-3 FAC-2160</t>
  </si>
  <si>
    <t>DELANTRASER T-1 FAC-2160</t>
  </si>
  <si>
    <t>CAUCHO  1-2-3-</t>
  </si>
  <si>
    <t xml:space="preserve">QUINCENA   1 JULIO AL 15 DE agosto </t>
  </si>
  <si>
    <t xml:space="preserve">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</si>
  <si>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</si>
  <si>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</t>
  </si>
  <si>
    <t xml:space="preserve">                                </t>
  </si>
  <si>
    <t xml:space="preserve">          </t>
  </si>
  <si>
    <t>sofia</t>
  </si>
  <si>
    <t>10--12--2--4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</si>
</sst>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 Black"/>
      <family val="2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theme="1"/>
      <name val="Arial Rounded MT Bold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64">
    <xf numFmtId="0" fontId="0" fillId="0" borderId="0" xfId="0"/>
    <xf numFmtId="0" fontId="2" fillId="3" borderId="1" xfId="0" applyFont="1" applyFill="1" applyBorder="1"/>
    <xf numFmtId="0" fontId="2" fillId="0" borderId="1" xfId="0" applyFont="1" applyBorder="1"/>
    <xf numFmtId="0" fontId="1" fillId="0" borderId="1" xfId="0" applyFont="1" applyBorder="1"/>
    <xf numFmtId="0" fontId="1" fillId="2" borderId="1" xfId="0" applyFont="1" applyFill="1" applyBorder="1"/>
    <xf numFmtId="3" fontId="1" fillId="0" borderId="1" xfId="0" applyNumberFormat="1" applyFont="1" applyBorder="1"/>
    <xf numFmtId="0" fontId="1" fillId="6" borderId="1" xfId="0" applyFont="1" applyFill="1" applyBorder="1"/>
    <xf numFmtId="9" fontId="2" fillId="4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 vertical="center"/>
    </xf>
    <xf numFmtId="0" fontId="1" fillId="0" borderId="0" xfId="0" applyFont="1"/>
    <xf numFmtId="3" fontId="2" fillId="5" borderId="1" xfId="0" applyNumberFormat="1" applyFont="1" applyFill="1" applyBorder="1"/>
    <xf numFmtId="0" fontId="2" fillId="0" borderId="1" xfId="0" applyFont="1" applyBorder="1" applyAlignment="1">
      <alignment horizontal="right"/>
    </xf>
    <xf numFmtId="1" fontId="1" fillId="0" borderId="1" xfId="0" applyNumberFormat="1" applyFont="1" applyBorder="1"/>
    <xf numFmtId="3" fontId="2" fillId="4" borderId="0" xfId="0" applyNumberFormat="1" applyFont="1" applyFill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2" fillId="6" borderId="0" xfId="0" applyFont="1" applyFill="1"/>
    <xf numFmtId="0" fontId="1" fillId="6" borderId="0" xfId="0" applyFont="1" applyFill="1"/>
    <xf numFmtId="0" fontId="2" fillId="0" borderId="3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/>
    <xf numFmtId="9" fontId="3" fillId="4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3" fontId="2" fillId="8" borderId="2" xfId="0" applyNumberFormat="1" applyFont="1" applyFill="1" applyBorder="1" applyAlignment="1">
      <alignment horizontal="center"/>
    </xf>
    <xf numFmtId="16" fontId="1" fillId="8" borderId="1" xfId="0" applyNumberFormat="1" applyFont="1" applyFill="1" applyBorder="1" applyAlignment="1">
      <alignment horizontal="center"/>
    </xf>
    <xf numFmtId="3" fontId="2" fillId="8" borderId="1" xfId="0" applyNumberFormat="1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9" borderId="8" xfId="0" applyFont="1" applyFill="1" applyBorder="1"/>
    <xf numFmtId="0" fontId="5" fillId="9" borderId="9" xfId="0" applyFont="1" applyFill="1" applyBorder="1"/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4" fontId="1" fillId="6" borderId="1" xfId="1" applyNumberFormat="1" applyFont="1" applyFill="1" applyBorder="1"/>
    <xf numFmtId="16" fontId="1" fillId="0" borderId="1" xfId="0" applyNumberFormat="1" applyFont="1" applyBorder="1"/>
    <xf numFmtId="14" fontId="1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3" fontId="1" fillId="6" borderId="0" xfId="0" applyNumberFormat="1" applyFont="1" applyFill="1"/>
    <xf numFmtId="0" fontId="0" fillId="0" borderId="1" xfId="0" applyBorder="1"/>
    <xf numFmtId="0" fontId="1" fillId="10" borderId="1" xfId="0" applyFont="1" applyFill="1" applyBorder="1"/>
    <xf numFmtId="0" fontId="2" fillId="7" borderId="4" xfId="0" applyFont="1" applyFill="1" applyBorder="1"/>
    <xf numFmtId="0" fontId="2" fillId="7" borderId="5" xfId="0" applyFont="1" applyFill="1" applyBorder="1"/>
    <xf numFmtId="0" fontId="2" fillId="7" borderId="6" xfId="0" applyFont="1" applyFill="1" applyBorder="1"/>
    <xf numFmtId="164" fontId="6" fillId="2" borderId="1" xfId="0" applyNumberFormat="1" applyFont="1" applyFill="1" applyBorder="1" applyAlignment="1">
      <alignment horizontal="right"/>
    </xf>
    <xf numFmtId="164" fontId="1" fillId="4" borderId="1" xfId="1" applyNumberFormat="1" applyFont="1" applyFill="1" applyBorder="1"/>
    <xf numFmtId="0" fontId="1" fillId="6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3" fontId="2" fillId="5" borderId="1" xfId="0" applyNumberFormat="1" applyFont="1" applyFill="1" applyBorder="1" applyAlignment="1">
      <alignment horizontal="center" vertical="center"/>
    </xf>
    <xf numFmtId="3" fontId="1" fillId="0" borderId="0" xfId="0" applyNumberFormat="1" applyFont="1"/>
    <xf numFmtId="0" fontId="2" fillId="4" borderId="1" xfId="0" applyFont="1" applyFill="1" applyBorder="1" applyAlignment="1">
      <alignment horizontal="center"/>
    </xf>
    <xf numFmtId="3" fontId="1" fillId="11" borderId="1" xfId="0" applyNumberFormat="1" applyFont="1" applyFill="1" applyBorder="1"/>
    <xf numFmtId="1" fontId="1" fillId="11" borderId="1" xfId="0" applyNumberFormat="1" applyFont="1" applyFill="1" applyBorder="1"/>
    <xf numFmtId="3" fontId="1" fillId="4" borderId="1" xfId="0" applyNumberFormat="1" applyFont="1" applyFill="1" applyBorder="1"/>
    <xf numFmtId="1" fontId="1" fillId="4" borderId="1" xfId="0" applyNumberFormat="1" applyFont="1" applyFill="1" applyBorder="1"/>
    <xf numFmtId="14" fontId="1" fillId="12" borderId="1" xfId="0" applyNumberFormat="1" applyFont="1" applyFill="1" applyBorder="1"/>
    <xf numFmtId="0" fontId="0" fillId="7" borderId="0" xfId="0" applyFill="1"/>
    <xf numFmtId="0" fontId="7" fillId="7" borderId="0" xfId="0" applyFont="1" applyFill="1"/>
    <xf numFmtId="14" fontId="1" fillId="4" borderId="1" xfId="0" applyNumberFormat="1" applyFont="1" applyFill="1" applyBorder="1"/>
    <xf numFmtId="16" fontId="1" fillId="6" borderId="1" xfId="0" applyNumberFormat="1" applyFont="1" applyFill="1" applyBorder="1"/>
    <xf numFmtId="3" fontId="1" fillId="6" borderId="1" xfId="0" applyNumberFormat="1" applyFont="1" applyFill="1" applyBorder="1"/>
    <xf numFmtId="0" fontId="0" fillId="6" borderId="0" xfId="0" applyFill="1"/>
    <xf numFmtId="16" fontId="1" fillId="4" borderId="1" xfId="0" applyNumberFormat="1" applyFont="1" applyFill="1" applyBorder="1"/>
    <xf numFmtId="16" fontId="1" fillId="6" borderId="1" xfId="0" applyNumberFormat="1" applyFont="1" applyFill="1" applyBorder="1" applyAlignment="1">
      <alignment horizontal="center"/>
    </xf>
    <xf numFmtId="14" fontId="1" fillId="10" borderId="1" xfId="0" applyNumberFormat="1" applyFont="1" applyFill="1" applyBorder="1"/>
    <xf numFmtId="3" fontId="1" fillId="5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1" xfId="0" applyNumberFormat="1" applyFont="1" applyFill="1" applyBorder="1" applyAlignment="1">
      <alignment horizontal="right"/>
    </xf>
    <xf numFmtId="3" fontId="1" fillId="10" borderId="1" xfId="0" applyNumberFormat="1" applyFont="1" applyFill="1" applyBorder="1"/>
    <xf numFmtId="0" fontId="1" fillId="6" borderId="1" xfId="0" applyFont="1" applyFill="1" applyBorder="1" applyAlignment="1">
      <alignment horizontal="left"/>
    </xf>
    <xf numFmtId="3" fontId="1" fillId="6" borderId="1" xfId="0" applyNumberFormat="1" applyFont="1" applyFill="1" applyBorder="1" applyAlignment="1">
      <alignment horizontal="left"/>
    </xf>
    <xf numFmtId="0" fontId="1" fillId="6" borderId="0" xfId="0" applyFont="1" applyFill="1" applyAlignment="1">
      <alignment horizontal="left"/>
    </xf>
    <xf numFmtId="0" fontId="11" fillId="0" borderId="1" xfId="0" applyFont="1" applyBorder="1"/>
    <xf numFmtId="3" fontId="11" fillId="6" borderId="1" xfId="0" applyNumberFormat="1" applyFont="1" applyFill="1" applyBorder="1"/>
    <xf numFmtId="0" fontId="11" fillId="6" borderId="1" xfId="0" applyFont="1" applyFill="1" applyBorder="1"/>
    <xf numFmtId="0" fontId="11" fillId="6" borderId="1" xfId="0" applyFont="1" applyFill="1" applyBorder="1" applyAlignment="1">
      <alignment horizontal="left"/>
    </xf>
    <xf numFmtId="0" fontId="11" fillId="0" borderId="0" xfId="0" applyFont="1"/>
    <xf numFmtId="0" fontId="11" fillId="6" borderId="1" xfId="0" applyFont="1" applyFill="1" applyBorder="1" applyAlignment="1">
      <alignment horizontal="right"/>
    </xf>
    <xf numFmtId="0" fontId="1" fillId="5" borderId="1" xfId="0" applyFont="1" applyFill="1" applyBorder="1"/>
    <xf numFmtId="14" fontId="1" fillId="5" borderId="1" xfId="0" applyNumberFormat="1" applyFont="1" applyFill="1" applyBorder="1"/>
    <xf numFmtId="17" fontId="1" fillId="6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" fontId="1" fillId="2" borderId="1" xfId="0" applyNumberFormat="1" applyFont="1" applyFill="1" applyBorder="1" applyAlignment="1">
      <alignment horizontal="center"/>
    </xf>
    <xf numFmtId="164" fontId="1" fillId="2" borderId="1" xfId="1" applyNumberFormat="1" applyFont="1" applyFill="1" applyBorder="1"/>
    <xf numFmtId="16" fontId="1" fillId="2" borderId="1" xfId="0" applyNumberFormat="1" applyFont="1" applyFill="1" applyBorder="1"/>
    <xf numFmtId="0" fontId="11" fillId="2" borderId="1" xfId="0" applyFont="1" applyFill="1" applyBorder="1"/>
    <xf numFmtId="0" fontId="1" fillId="7" borderId="1" xfId="0" applyFont="1" applyFill="1" applyBorder="1"/>
    <xf numFmtId="3" fontId="1" fillId="7" borderId="1" xfId="0" applyNumberFormat="1" applyFont="1" applyFill="1" applyBorder="1"/>
    <xf numFmtId="16" fontId="11" fillId="6" borderId="1" xfId="0" applyNumberFormat="1" applyFont="1" applyFill="1" applyBorder="1"/>
    <xf numFmtId="0" fontId="11" fillId="2" borderId="3" xfId="0" applyFont="1" applyFill="1" applyBorder="1"/>
    <xf numFmtId="3" fontId="11" fillId="6" borderId="3" xfId="0" applyNumberFormat="1" applyFont="1" applyFill="1" applyBorder="1"/>
    <xf numFmtId="14" fontId="1" fillId="6" borderId="1" xfId="0" applyNumberFormat="1" applyFont="1" applyFill="1" applyBorder="1" applyAlignment="1">
      <alignment horizontal="center"/>
    </xf>
    <xf numFmtId="3" fontId="1" fillId="6" borderId="3" xfId="0" applyNumberFormat="1" applyFont="1" applyFill="1" applyBorder="1"/>
    <xf numFmtId="164" fontId="1" fillId="13" borderId="1" xfId="1" applyNumberFormat="1" applyFont="1" applyFill="1" applyBorder="1"/>
    <xf numFmtId="14" fontId="1" fillId="6" borderId="1" xfId="0" applyNumberFormat="1" applyFont="1" applyFill="1" applyBorder="1"/>
    <xf numFmtId="0" fontId="1" fillId="4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right"/>
    </xf>
    <xf numFmtId="164" fontId="6" fillId="4" borderId="1" xfId="1" applyNumberFormat="1" applyFont="1" applyFill="1" applyBorder="1"/>
    <xf numFmtId="0" fontId="1" fillId="14" borderId="1" xfId="0" applyFont="1" applyFill="1" applyBorder="1" applyAlignment="1">
      <alignment horizontal="center"/>
    </xf>
    <xf numFmtId="0" fontId="1" fillId="14" borderId="1" xfId="0" applyFont="1" applyFill="1" applyBorder="1"/>
    <xf numFmtId="0" fontId="1" fillId="0" borderId="13" xfId="0" applyFont="1" applyBorder="1"/>
    <xf numFmtId="0" fontId="2" fillId="6" borderId="11" xfId="0" applyFont="1" applyFill="1" applyBorder="1"/>
    <xf numFmtId="3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/>
    <xf numFmtId="0" fontId="2" fillId="0" borderId="11" xfId="0" applyFont="1" applyBorder="1" applyAlignment="1">
      <alignment horizontal="right"/>
    </xf>
    <xf numFmtId="0" fontId="1" fillId="15" borderId="1" xfId="0" applyFont="1" applyFill="1" applyBorder="1" applyAlignment="1">
      <alignment horizontal="center"/>
    </xf>
    <xf numFmtId="0" fontId="2" fillId="6" borderId="1" xfId="0" applyFont="1" applyFill="1" applyBorder="1"/>
    <xf numFmtId="16" fontId="1" fillId="0" borderId="1" xfId="0" applyNumberFormat="1" applyFont="1" applyBorder="1" applyAlignment="1">
      <alignment horizontal="right"/>
    </xf>
    <xf numFmtId="0" fontId="11" fillId="6" borderId="10" xfId="0" applyFont="1" applyFill="1" applyBorder="1"/>
    <xf numFmtId="0" fontId="11" fillId="6" borderId="11" xfId="0" applyFont="1" applyFill="1" applyBorder="1"/>
    <xf numFmtId="3" fontId="11" fillId="6" borderId="12" xfId="0" applyNumberFormat="1" applyFont="1" applyFill="1" applyBorder="1"/>
    <xf numFmtId="0" fontId="11" fillId="8" borderId="2" xfId="0" applyFont="1" applyFill="1" applyBorder="1" applyAlignment="1">
      <alignment horizontal="center"/>
    </xf>
    <xf numFmtId="0" fontId="13" fillId="10" borderId="1" xfId="0" applyFont="1" applyFill="1" applyBorder="1"/>
    <xf numFmtId="0" fontId="13" fillId="2" borderId="1" xfId="0" applyFont="1" applyFill="1" applyBorder="1"/>
    <xf numFmtId="0" fontId="13" fillId="0" borderId="1" xfId="0" applyFont="1" applyBorder="1"/>
    <xf numFmtId="0" fontId="14" fillId="2" borderId="1" xfId="0" applyFont="1" applyFill="1" applyBorder="1"/>
    <xf numFmtId="3" fontId="13" fillId="6" borderId="1" xfId="0" applyNumberFormat="1" applyFont="1" applyFill="1" applyBorder="1"/>
    <xf numFmtId="3" fontId="13" fillId="0" borderId="1" xfId="0" applyNumberFormat="1" applyFont="1" applyBorder="1"/>
    <xf numFmtId="0" fontId="13" fillId="6" borderId="1" xfId="0" applyFont="1" applyFill="1" applyBorder="1"/>
    <xf numFmtId="0" fontId="15" fillId="10" borderId="1" xfId="0" applyFont="1" applyFill="1" applyBorder="1"/>
    <xf numFmtId="3" fontId="15" fillId="10" borderId="1" xfId="0" applyNumberFormat="1" applyFont="1" applyFill="1" applyBorder="1"/>
    <xf numFmtId="0" fontId="15" fillId="10" borderId="0" xfId="0" applyFont="1" applyFill="1"/>
    <xf numFmtId="3" fontId="15" fillId="10" borderId="3" xfId="0" applyNumberFormat="1" applyFont="1" applyFill="1" applyBorder="1"/>
    <xf numFmtId="0" fontId="15" fillId="0" borderId="1" xfId="0" applyFont="1" applyBorder="1"/>
    <xf numFmtId="3" fontId="15" fillId="6" borderId="1" xfId="0" applyNumberFormat="1" applyFont="1" applyFill="1" applyBorder="1"/>
    <xf numFmtId="0" fontId="15" fillId="6" borderId="1" xfId="0" applyFont="1" applyFill="1" applyBorder="1"/>
    <xf numFmtId="3" fontId="15" fillId="0" borderId="1" xfId="0" applyNumberFormat="1" applyFont="1" applyBorder="1"/>
    <xf numFmtId="3" fontId="13" fillId="10" borderId="1" xfId="0" applyNumberFormat="1" applyFont="1" applyFill="1" applyBorder="1"/>
    <xf numFmtId="0" fontId="16" fillId="6" borderId="1" xfId="0" applyFont="1" applyFill="1" applyBorder="1" applyAlignment="1">
      <alignment horizontal="left"/>
    </xf>
    <xf numFmtId="3" fontId="13" fillId="11" borderId="1" xfId="0" applyNumberFormat="1" applyFont="1" applyFill="1" applyBorder="1"/>
    <xf numFmtId="0" fontId="16" fillId="6" borderId="1" xfId="0" applyFont="1" applyFill="1" applyBorder="1"/>
    <xf numFmtId="0" fontId="18" fillId="2" borderId="1" xfId="0" applyFont="1" applyFill="1" applyBorder="1"/>
    <xf numFmtId="0" fontId="15" fillId="2" borderId="1" xfId="0" applyFont="1" applyFill="1" applyBorder="1"/>
    <xf numFmtId="0" fontId="15" fillId="6" borderId="3" xfId="0" applyFont="1" applyFill="1" applyBorder="1"/>
    <xf numFmtId="0" fontId="1" fillId="16" borderId="20" xfId="0" applyFont="1" applyFill="1" applyBorder="1" applyAlignment="1">
      <alignment horizontal="center"/>
    </xf>
    <xf numFmtId="0" fontId="1" fillId="16" borderId="0" xfId="0" applyFont="1" applyFill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8" fillId="7" borderId="11" xfId="0" applyFont="1" applyFill="1" applyBorder="1" applyAlignment="1">
      <alignment horizontal="center"/>
    </xf>
    <xf numFmtId="0" fontId="8" fillId="7" borderId="12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7" borderId="11" xfId="0" applyFont="1" applyFill="1" applyBorder="1" applyAlignment="1">
      <alignment horizontal="center"/>
    </xf>
    <xf numFmtId="0" fontId="10" fillId="7" borderId="12" xfId="0" applyFont="1" applyFill="1" applyBorder="1" applyAlignment="1">
      <alignment horizontal="center"/>
    </xf>
    <xf numFmtId="0" fontId="10" fillId="7" borderId="13" xfId="0" applyFont="1" applyFill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7" fillId="7" borderId="10" xfId="0" applyFont="1" applyFill="1" applyBorder="1" applyAlignment="1">
      <alignment horizontal="center"/>
    </xf>
    <xf numFmtId="0" fontId="17" fillId="7" borderId="11" xfId="0" applyFont="1" applyFill="1" applyBorder="1" applyAlignment="1">
      <alignment horizontal="center"/>
    </xf>
    <xf numFmtId="0" fontId="17" fillId="7" borderId="12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16" fontId="1" fillId="0" borderId="2" xfId="0" applyNumberFormat="1" applyFont="1" applyBorder="1" applyAlignment="1">
      <alignment horizontal="center"/>
    </xf>
    <xf numFmtId="16" fontId="1" fillId="0" borderId="19" xfId="0" applyNumberFormat="1" applyFont="1" applyBorder="1" applyAlignment="1">
      <alignment horizontal="center"/>
    </xf>
    <xf numFmtId="0" fontId="10" fillId="7" borderId="14" xfId="0" applyFont="1" applyFill="1" applyBorder="1" applyAlignment="1">
      <alignment horizontal="center"/>
    </xf>
    <xf numFmtId="0" fontId="10" fillId="7" borderId="15" xfId="0" applyFont="1" applyFill="1" applyBorder="1" applyAlignment="1">
      <alignment horizontal="center"/>
    </xf>
    <xf numFmtId="0" fontId="10" fillId="7" borderId="16" xfId="0" applyFont="1" applyFill="1" applyBorder="1" applyAlignment="1">
      <alignment horizontal="center"/>
    </xf>
    <xf numFmtId="0" fontId="10" fillId="7" borderId="17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2326-1810-411F-9D60-D6A648BC7B42}">
  <dimension ref="A1:J2060"/>
  <sheetViews>
    <sheetView tabSelected="1" topLeftCell="A1760" zoomScale="77" zoomScaleNormal="77" workbookViewId="0">
      <selection activeCell="F1771" sqref="F1771"/>
    </sheetView>
  </sheetViews>
  <sheetFormatPr baseColWidth="10" defaultRowHeight="15" x14ac:dyDescent="0.25"/>
  <cols>
    <col min="1" max="1" width="28" customWidth="1"/>
    <col min="2" max="2" width="50.85546875" customWidth="1"/>
    <col min="3" max="3" width="39.42578125" customWidth="1"/>
    <col min="4" max="4" width="19.5703125" customWidth="1"/>
    <col min="5" max="5" width="21.140625" customWidth="1"/>
    <col min="6" max="6" width="16.140625" customWidth="1"/>
    <col min="7" max="7" width="25.140625" customWidth="1"/>
  </cols>
  <sheetData>
    <row r="1" spans="1:8" ht="19.5" thickBot="1" x14ac:dyDescent="0.35">
      <c r="A1" s="39" t="s">
        <v>18</v>
      </c>
      <c r="B1" s="40"/>
      <c r="C1" s="41"/>
      <c r="D1" s="10"/>
      <c r="E1" s="10"/>
      <c r="F1" s="10"/>
      <c r="G1" s="10"/>
      <c r="H1" s="10"/>
    </row>
    <row r="2" spans="1:8" ht="18.75" x14ac:dyDescent="0.3">
      <c r="A2" s="10"/>
      <c r="B2" s="10"/>
      <c r="C2" s="10"/>
      <c r="D2" s="10"/>
      <c r="E2" s="10"/>
      <c r="F2" s="10"/>
      <c r="G2" s="10"/>
      <c r="H2" s="10"/>
    </row>
    <row r="3" spans="1:8" ht="35.25" customHeight="1" x14ac:dyDescent="0.3">
      <c r="A3" s="35" t="s">
        <v>0</v>
      </c>
      <c r="B3" s="35" t="s">
        <v>1</v>
      </c>
      <c r="C3" s="35" t="s">
        <v>2</v>
      </c>
      <c r="D3" s="35" t="s">
        <v>3</v>
      </c>
      <c r="E3" s="35" t="s">
        <v>4</v>
      </c>
      <c r="F3" s="35" t="s">
        <v>5</v>
      </c>
      <c r="G3" s="35" t="s">
        <v>6</v>
      </c>
      <c r="H3" s="10"/>
    </row>
    <row r="4" spans="1:8" ht="21.75" customHeight="1" x14ac:dyDescent="0.3">
      <c r="A4" s="22">
        <v>1651</v>
      </c>
      <c r="B4" s="22" t="s">
        <v>19</v>
      </c>
      <c r="C4" s="23" t="s">
        <v>20</v>
      </c>
      <c r="D4" s="24">
        <v>1680</v>
      </c>
      <c r="E4" s="22">
        <v>900</v>
      </c>
      <c r="F4" s="25" t="s">
        <v>21</v>
      </c>
      <c r="G4" s="26">
        <f>D4*E4</f>
        <v>1512000</v>
      </c>
      <c r="H4" s="10"/>
    </row>
    <row r="5" spans="1:8" ht="18.75" x14ac:dyDescent="0.3">
      <c r="A5" s="1" t="s">
        <v>7</v>
      </c>
      <c r="B5" s="7">
        <v>5.4</v>
      </c>
      <c r="C5" s="8" t="s">
        <v>3</v>
      </c>
      <c r="D5" s="8" t="s">
        <v>8</v>
      </c>
      <c r="E5" s="9">
        <v>907200</v>
      </c>
      <c r="F5" s="10"/>
      <c r="G5" s="11">
        <v>604800</v>
      </c>
      <c r="H5" s="10"/>
    </row>
    <row r="6" spans="1:8" ht="18.75" x14ac:dyDescent="0.3">
      <c r="A6" s="2" t="s">
        <v>9</v>
      </c>
      <c r="B6" s="12">
        <v>58</v>
      </c>
      <c r="C6" s="5">
        <v>315</v>
      </c>
      <c r="D6" s="13">
        <f>B6*C6</f>
        <v>18270</v>
      </c>
      <c r="E6" s="21">
        <v>0.6</v>
      </c>
      <c r="F6" s="10"/>
      <c r="G6" s="21">
        <v>0.4</v>
      </c>
      <c r="H6" s="10"/>
    </row>
    <row r="7" spans="1:8" ht="18.75" x14ac:dyDescent="0.3">
      <c r="A7" s="2" t="s">
        <v>22</v>
      </c>
      <c r="B7" s="12">
        <v>65</v>
      </c>
      <c r="C7" s="3">
        <v>315</v>
      </c>
      <c r="D7" s="13">
        <f t="shared" ref="D7:D16" si="0">B7*C7</f>
        <v>20475</v>
      </c>
      <c r="E7" s="10"/>
      <c r="F7" s="10"/>
      <c r="G7" s="10"/>
      <c r="H7" s="10"/>
    </row>
    <row r="8" spans="1:8" ht="18.75" x14ac:dyDescent="0.3">
      <c r="A8" s="2" t="s">
        <v>23</v>
      </c>
      <c r="B8" s="12">
        <v>60</v>
      </c>
      <c r="C8" s="5">
        <v>1680</v>
      </c>
      <c r="D8" s="13">
        <f t="shared" si="0"/>
        <v>100800</v>
      </c>
      <c r="E8" s="10"/>
      <c r="F8" s="10"/>
      <c r="G8" s="10"/>
      <c r="H8" s="10"/>
    </row>
    <row r="9" spans="1:8" ht="18.75" x14ac:dyDescent="0.3">
      <c r="A9" s="2" t="s">
        <v>74</v>
      </c>
      <c r="B9" s="12">
        <v>68</v>
      </c>
      <c r="C9" s="3">
        <v>1680</v>
      </c>
      <c r="D9" s="13">
        <f t="shared" si="0"/>
        <v>114240</v>
      </c>
      <c r="E9" s="10"/>
      <c r="F9" s="10"/>
      <c r="G9" s="14">
        <f>E5-D20-D21-D22-D23-D24-D25-D26-D27-D29-D33</f>
        <v>0</v>
      </c>
      <c r="H9" s="10"/>
    </row>
    <row r="10" spans="1:8" ht="18.75" x14ac:dyDescent="0.3">
      <c r="A10" s="2" t="s">
        <v>24</v>
      </c>
      <c r="B10" s="12">
        <v>66</v>
      </c>
      <c r="C10" s="3">
        <v>1680</v>
      </c>
      <c r="D10" s="13">
        <f t="shared" si="0"/>
        <v>110880</v>
      </c>
      <c r="E10" s="10"/>
      <c r="F10" s="10"/>
      <c r="G10" s="10"/>
      <c r="H10" s="10"/>
    </row>
    <row r="11" spans="1:8" ht="18.75" x14ac:dyDescent="0.3">
      <c r="A11" s="2" t="s">
        <v>25</v>
      </c>
      <c r="B11" s="12">
        <v>100</v>
      </c>
      <c r="C11" s="3">
        <v>1680</v>
      </c>
      <c r="D11" s="13">
        <f t="shared" si="0"/>
        <v>168000</v>
      </c>
      <c r="E11" s="10"/>
      <c r="F11" s="10"/>
      <c r="G11" s="10"/>
      <c r="H11" s="10"/>
    </row>
    <row r="12" spans="1:8" ht="18.75" x14ac:dyDescent="0.3">
      <c r="A12" s="2" t="s">
        <v>26</v>
      </c>
      <c r="B12" s="12">
        <v>123</v>
      </c>
      <c r="C12" s="3">
        <v>1680</v>
      </c>
      <c r="D12" s="13">
        <f t="shared" si="0"/>
        <v>206640</v>
      </c>
      <c r="E12" s="10"/>
      <c r="F12" s="10"/>
      <c r="G12" s="10"/>
      <c r="H12" s="10"/>
    </row>
    <row r="13" spans="1:8" ht="18.75" x14ac:dyDescent="0.3">
      <c r="A13" s="2"/>
      <c r="B13" s="12"/>
      <c r="C13" s="3"/>
      <c r="D13" s="13">
        <f t="shared" si="0"/>
        <v>0</v>
      </c>
      <c r="E13" s="10"/>
      <c r="F13" s="10"/>
      <c r="G13" s="10"/>
      <c r="H13" s="10"/>
    </row>
    <row r="14" spans="1:8" ht="18.75" x14ac:dyDescent="0.3">
      <c r="A14" s="2"/>
      <c r="B14" s="15"/>
      <c r="C14" s="3"/>
      <c r="D14" s="13">
        <f t="shared" si="0"/>
        <v>0</v>
      </c>
      <c r="E14" s="10"/>
      <c r="F14" s="16"/>
      <c r="G14" s="16"/>
      <c r="H14" s="10"/>
    </row>
    <row r="15" spans="1:8" ht="18.75" x14ac:dyDescent="0.3">
      <c r="A15" s="2"/>
      <c r="B15" s="15"/>
      <c r="C15" s="3"/>
      <c r="D15" s="13">
        <f t="shared" si="0"/>
        <v>0</v>
      </c>
      <c r="E15" s="10"/>
      <c r="F15" s="17"/>
      <c r="G15" s="17"/>
      <c r="H15" s="10"/>
    </row>
    <row r="16" spans="1:8" ht="18.75" x14ac:dyDescent="0.3">
      <c r="A16" s="2"/>
      <c r="B16" s="12"/>
      <c r="C16" s="3"/>
      <c r="D16" s="13">
        <f t="shared" si="0"/>
        <v>0</v>
      </c>
      <c r="E16" s="10"/>
      <c r="F16" s="10"/>
      <c r="G16" s="10"/>
      <c r="H16" s="10"/>
    </row>
    <row r="17" spans="1:8" ht="18.75" x14ac:dyDescent="0.3">
      <c r="A17" s="2"/>
      <c r="B17" s="12"/>
      <c r="C17" s="3"/>
      <c r="D17" s="13"/>
      <c r="E17" s="10"/>
      <c r="F17" s="10"/>
      <c r="G17" s="10"/>
      <c r="H17" s="10"/>
    </row>
    <row r="18" spans="1:8" ht="18.75" x14ac:dyDescent="0.3">
      <c r="A18" s="18"/>
      <c r="B18" s="19"/>
      <c r="C18" s="20"/>
      <c r="D18" s="13"/>
      <c r="E18" s="10"/>
      <c r="F18" s="10"/>
      <c r="G18" s="10"/>
      <c r="H18" s="10"/>
    </row>
    <row r="19" spans="1:8" ht="18.75" x14ac:dyDescent="0.3">
      <c r="A19" s="1" t="s">
        <v>10</v>
      </c>
      <c r="B19" s="1" t="s">
        <v>11</v>
      </c>
      <c r="C19" s="1" t="s">
        <v>12</v>
      </c>
      <c r="D19" s="1" t="s">
        <v>13</v>
      </c>
      <c r="E19" s="1" t="s">
        <v>14</v>
      </c>
      <c r="F19" s="10"/>
      <c r="G19" s="10"/>
      <c r="H19" s="10"/>
    </row>
    <row r="20" spans="1:8" ht="18.75" x14ac:dyDescent="0.3">
      <c r="A20" s="3" t="s">
        <v>27</v>
      </c>
      <c r="B20" s="4" t="s">
        <v>43</v>
      </c>
      <c r="C20" s="3">
        <v>420</v>
      </c>
      <c r="D20" s="5">
        <v>51660</v>
      </c>
      <c r="E20" s="3"/>
      <c r="F20" s="10"/>
      <c r="G20" s="10"/>
      <c r="H20" s="10"/>
    </row>
    <row r="21" spans="1:8" ht="18.75" x14ac:dyDescent="0.3">
      <c r="A21" s="3" t="s">
        <v>16</v>
      </c>
      <c r="B21" s="4" t="s">
        <v>44</v>
      </c>
      <c r="C21" s="3">
        <v>315</v>
      </c>
      <c r="D21" s="5">
        <v>38745</v>
      </c>
      <c r="E21" s="5"/>
      <c r="F21" s="10"/>
      <c r="G21" s="10"/>
      <c r="H21" s="10"/>
    </row>
    <row r="22" spans="1:8" ht="18.75" x14ac:dyDescent="0.3">
      <c r="A22" s="3" t="s">
        <v>17</v>
      </c>
      <c r="B22" s="4" t="s">
        <v>28</v>
      </c>
      <c r="C22" s="3">
        <v>1680</v>
      </c>
      <c r="D22" s="5">
        <v>110880</v>
      </c>
      <c r="E22" s="5"/>
      <c r="F22" s="10"/>
      <c r="G22" s="10"/>
      <c r="H22" s="10"/>
    </row>
    <row r="23" spans="1:8" ht="18.75" x14ac:dyDescent="0.3">
      <c r="A23" s="3" t="s">
        <v>29</v>
      </c>
      <c r="B23" s="4" t="s">
        <v>30</v>
      </c>
      <c r="C23" s="5">
        <v>1680</v>
      </c>
      <c r="D23" s="5">
        <v>114240</v>
      </c>
      <c r="E23" s="3"/>
      <c r="F23" s="10"/>
      <c r="G23" s="10"/>
      <c r="H23" s="10"/>
    </row>
    <row r="24" spans="1:8" ht="18.75" x14ac:dyDescent="0.3">
      <c r="A24" s="6" t="s">
        <v>31</v>
      </c>
      <c r="B24" s="4" t="s">
        <v>32</v>
      </c>
      <c r="C24" s="3">
        <v>1680</v>
      </c>
      <c r="D24" s="5">
        <v>100800</v>
      </c>
      <c r="E24" s="5"/>
      <c r="F24" s="10"/>
      <c r="G24" s="10"/>
      <c r="H24" s="10"/>
    </row>
    <row r="25" spans="1:8" ht="18.75" x14ac:dyDescent="0.3">
      <c r="A25" s="3" t="s">
        <v>15</v>
      </c>
      <c r="B25" s="4" t="s">
        <v>25</v>
      </c>
      <c r="C25" s="3">
        <v>1680</v>
      </c>
      <c r="D25" s="5">
        <v>168000</v>
      </c>
      <c r="E25" s="5"/>
      <c r="F25" s="10"/>
      <c r="G25" s="10"/>
      <c r="H25" s="10"/>
    </row>
    <row r="26" spans="1:8" ht="18.75" x14ac:dyDescent="0.3">
      <c r="A26" s="3" t="s">
        <v>40</v>
      </c>
      <c r="B26" s="4" t="s">
        <v>41</v>
      </c>
      <c r="C26" s="3">
        <v>1680</v>
      </c>
      <c r="D26" s="5">
        <v>206640</v>
      </c>
      <c r="E26" s="5"/>
      <c r="F26" s="10"/>
      <c r="G26" s="10"/>
      <c r="H26" s="10"/>
    </row>
    <row r="27" spans="1:8" ht="18.75" x14ac:dyDescent="0.3">
      <c r="A27" s="3" t="s">
        <v>42</v>
      </c>
      <c r="B27" s="4" t="s">
        <v>45</v>
      </c>
      <c r="C27" s="3">
        <v>945</v>
      </c>
      <c r="D27" s="5">
        <v>116235</v>
      </c>
      <c r="E27" s="3"/>
      <c r="F27" s="10"/>
      <c r="G27" s="10"/>
      <c r="H27" s="10"/>
    </row>
    <row r="28" spans="1:8" ht="18.75" x14ac:dyDescent="0.3">
      <c r="A28" s="3"/>
      <c r="B28" s="4"/>
      <c r="C28" s="3"/>
      <c r="D28" s="5"/>
      <c r="E28" s="3"/>
      <c r="F28" s="10"/>
      <c r="G28" s="10"/>
      <c r="H28" s="10"/>
    </row>
    <row r="29" spans="1:8" ht="18.75" x14ac:dyDescent="0.3">
      <c r="A29" s="3"/>
      <c r="B29" s="4"/>
      <c r="C29" s="3"/>
      <c r="D29" s="5"/>
      <c r="E29" s="3"/>
      <c r="F29" s="10"/>
      <c r="G29" s="10"/>
      <c r="H29" s="10"/>
    </row>
    <row r="30" spans="1:8" ht="18.75" x14ac:dyDescent="0.3">
      <c r="A30" s="3"/>
      <c r="B30" s="4"/>
      <c r="C30" s="3"/>
      <c r="D30" s="5"/>
      <c r="E30" s="3"/>
      <c r="F30" s="10"/>
      <c r="G30" s="10"/>
      <c r="H30" s="10"/>
    </row>
    <row r="31" spans="1:8" ht="18.75" x14ac:dyDescent="0.3">
      <c r="A31" s="3"/>
      <c r="B31" s="4"/>
      <c r="C31" s="5"/>
      <c r="D31" s="5"/>
      <c r="E31" s="3"/>
      <c r="F31" s="10"/>
      <c r="G31" s="10"/>
      <c r="H31" s="10"/>
    </row>
    <row r="32" spans="1:8" ht="18.75" x14ac:dyDescent="0.3">
      <c r="A32" s="3"/>
      <c r="B32" s="4"/>
      <c r="C32" s="3"/>
      <c r="D32" s="5"/>
      <c r="E32" s="3"/>
      <c r="F32" s="10"/>
      <c r="G32" s="10"/>
      <c r="H32" s="10"/>
    </row>
    <row r="33" spans="1:8" ht="18.75" x14ac:dyDescent="0.3">
      <c r="A33" s="3"/>
      <c r="B33" s="4"/>
      <c r="C33" s="3"/>
      <c r="D33" s="5"/>
      <c r="E33" s="3"/>
      <c r="F33" s="10"/>
      <c r="G33" s="10"/>
      <c r="H33" s="10"/>
    </row>
    <row r="34" spans="1:8" ht="18.75" x14ac:dyDescent="0.3">
      <c r="A34" s="3"/>
      <c r="B34" s="4"/>
      <c r="C34" s="3"/>
      <c r="D34" s="5"/>
      <c r="E34" s="3"/>
      <c r="F34" s="10"/>
      <c r="G34" s="10"/>
      <c r="H34" s="10"/>
    </row>
    <row r="35" spans="1:8" ht="18.75" x14ac:dyDescent="0.3">
      <c r="A35" s="3"/>
      <c r="B35" s="4"/>
      <c r="C35" s="3"/>
      <c r="D35" s="5"/>
      <c r="E35" s="3"/>
      <c r="F35" s="10"/>
      <c r="G35" s="10"/>
      <c r="H35" s="10"/>
    </row>
    <row r="36" spans="1:8" ht="18.75" x14ac:dyDescent="0.3">
      <c r="A36" s="3"/>
      <c r="B36" s="4"/>
      <c r="C36" s="3"/>
      <c r="D36" s="5"/>
      <c r="E36" s="3"/>
      <c r="F36" s="10"/>
      <c r="G36" s="10"/>
      <c r="H36" s="10"/>
    </row>
    <row r="37" spans="1:8" ht="18.75" x14ac:dyDescent="0.3">
      <c r="A37" s="10"/>
      <c r="B37" s="17"/>
      <c r="C37" s="17"/>
      <c r="D37" s="36"/>
      <c r="E37" s="17"/>
      <c r="F37" s="10"/>
      <c r="G37" s="10"/>
      <c r="H37" s="10"/>
    </row>
    <row r="38" spans="1:8" ht="18.75" x14ac:dyDescent="0.3">
      <c r="A38" s="10"/>
      <c r="B38" s="17"/>
      <c r="C38" s="17"/>
      <c r="D38" s="36"/>
      <c r="E38" s="17"/>
      <c r="F38" s="10"/>
      <c r="G38" s="10"/>
      <c r="H38" s="10"/>
    </row>
    <row r="39" spans="1:8" ht="18.75" x14ac:dyDescent="0.3">
      <c r="A39" s="35" t="s">
        <v>0</v>
      </c>
      <c r="B39" s="35" t="s">
        <v>1</v>
      </c>
      <c r="C39" s="35" t="s">
        <v>2</v>
      </c>
      <c r="D39" s="35" t="s">
        <v>3</v>
      </c>
      <c r="E39" s="35" t="s">
        <v>4</v>
      </c>
      <c r="F39" s="35" t="s">
        <v>5</v>
      </c>
      <c r="G39" s="35" t="s">
        <v>6</v>
      </c>
      <c r="H39" s="10"/>
    </row>
    <row r="40" spans="1:8" ht="18.75" x14ac:dyDescent="0.3">
      <c r="A40" s="22">
        <v>1668</v>
      </c>
      <c r="B40" s="22" t="s">
        <v>19</v>
      </c>
      <c r="C40" s="23" t="s">
        <v>65</v>
      </c>
      <c r="D40" s="24">
        <v>1782</v>
      </c>
      <c r="E40" s="22">
        <v>900</v>
      </c>
      <c r="F40" s="25" t="s">
        <v>64</v>
      </c>
      <c r="G40" s="26">
        <f>D40*E40</f>
        <v>1603800</v>
      </c>
      <c r="H40" s="10"/>
    </row>
    <row r="41" spans="1:8" s="10" customFormat="1" ht="18.75" x14ac:dyDescent="0.3">
      <c r="A41" s="1" t="s">
        <v>7</v>
      </c>
      <c r="B41" s="7">
        <v>5.4</v>
      </c>
      <c r="C41" s="8" t="s">
        <v>3</v>
      </c>
      <c r="D41" s="8" t="s">
        <v>8</v>
      </c>
      <c r="E41" s="9">
        <v>962280</v>
      </c>
      <c r="G41" s="11">
        <v>641520</v>
      </c>
    </row>
    <row r="42" spans="1:8" s="10" customFormat="1" ht="18.75" x14ac:dyDescent="0.3">
      <c r="A42" s="2" t="s">
        <v>9</v>
      </c>
      <c r="B42" s="12">
        <v>58</v>
      </c>
      <c r="C42" s="5">
        <v>891</v>
      </c>
      <c r="D42" s="13">
        <f>B42*C42</f>
        <v>51678</v>
      </c>
      <c r="E42" s="21">
        <v>0.6</v>
      </c>
      <c r="G42" s="21">
        <v>0.4</v>
      </c>
    </row>
    <row r="43" spans="1:8" s="10" customFormat="1" ht="18.75" x14ac:dyDescent="0.3">
      <c r="A43" s="2" t="s">
        <v>72</v>
      </c>
      <c r="B43" s="12">
        <v>89</v>
      </c>
      <c r="C43" s="3">
        <v>225</v>
      </c>
      <c r="D43" s="13">
        <f t="shared" ref="D43:D52" si="1">B43*C43</f>
        <v>20025</v>
      </c>
    </row>
    <row r="44" spans="1:8" s="10" customFormat="1" ht="18.75" x14ac:dyDescent="0.3">
      <c r="A44" s="2" t="s">
        <v>50</v>
      </c>
      <c r="B44" s="12">
        <v>86</v>
      </c>
      <c r="C44" s="3">
        <v>174</v>
      </c>
      <c r="D44" s="13">
        <f t="shared" si="1"/>
        <v>14964</v>
      </c>
    </row>
    <row r="45" spans="1:8" s="10" customFormat="1" ht="18.75" x14ac:dyDescent="0.3">
      <c r="A45" s="2" t="s">
        <v>23</v>
      </c>
      <c r="B45" s="12">
        <v>60</v>
      </c>
      <c r="C45" s="5">
        <v>1782</v>
      </c>
      <c r="D45" s="13">
        <f t="shared" si="1"/>
        <v>106920</v>
      </c>
    </row>
    <row r="46" spans="1:8" ht="18.75" x14ac:dyDescent="0.3">
      <c r="A46" s="2" t="s">
        <v>70</v>
      </c>
      <c r="B46" s="12">
        <v>64</v>
      </c>
      <c r="C46" s="3">
        <v>1782</v>
      </c>
      <c r="D46" s="13">
        <f t="shared" si="1"/>
        <v>114048</v>
      </c>
      <c r="E46" s="10"/>
      <c r="F46" s="10"/>
      <c r="G46" s="14">
        <f>E41-D57-D58-D59-D60-D61-D62-D63-D64-D65-D66-D67-D68-D69-D70</f>
        <v>0</v>
      </c>
      <c r="H46" s="10"/>
    </row>
    <row r="47" spans="1:8" ht="18.75" x14ac:dyDescent="0.3">
      <c r="A47" s="2" t="s">
        <v>24</v>
      </c>
      <c r="B47" s="12">
        <v>66</v>
      </c>
      <c r="C47" s="3">
        <v>1782</v>
      </c>
      <c r="D47" s="13">
        <f t="shared" si="1"/>
        <v>117612</v>
      </c>
      <c r="E47" s="10"/>
      <c r="F47" s="10"/>
      <c r="G47" s="10"/>
      <c r="H47" s="10"/>
    </row>
    <row r="48" spans="1:8" ht="18.75" x14ac:dyDescent="0.3">
      <c r="A48" s="2" t="s">
        <v>25</v>
      </c>
      <c r="B48" s="12">
        <v>43</v>
      </c>
      <c r="C48" s="3">
        <v>1782</v>
      </c>
      <c r="D48" s="13">
        <f t="shared" si="1"/>
        <v>76626</v>
      </c>
      <c r="E48" s="10"/>
      <c r="F48" s="10"/>
      <c r="G48" s="10"/>
    </row>
    <row r="49" spans="1:7" ht="18.75" x14ac:dyDescent="0.3">
      <c r="A49" s="2" t="s">
        <v>26</v>
      </c>
      <c r="B49" s="12">
        <v>74</v>
      </c>
      <c r="C49" s="3">
        <v>1782</v>
      </c>
      <c r="D49" s="13">
        <v>151893</v>
      </c>
      <c r="E49" s="10"/>
      <c r="F49" s="10"/>
      <c r="G49" s="10"/>
    </row>
    <row r="50" spans="1:7" ht="18.75" x14ac:dyDescent="0.3">
      <c r="A50" s="2"/>
      <c r="B50" s="12"/>
      <c r="C50" s="3"/>
      <c r="D50" s="13">
        <f t="shared" si="1"/>
        <v>0</v>
      </c>
      <c r="E50" s="10"/>
      <c r="F50" s="10"/>
      <c r="G50" s="10"/>
    </row>
    <row r="51" spans="1:7" ht="18.75" x14ac:dyDescent="0.3">
      <c r="A51" s="2"/>
      <c r="B51" s="15"/>
      <c r="C51" s="3"/>
      <c r="D51" s="13">
        <f t="shared" si="1"/>
        <v>0</v>
      </c>
      <c r="E51" s="10"/>
      <c r="F51" s="16"/>
      <c r="G51" s="16"/>
    </row>
    <row r="52" spans="1:7" ht="18.75" x14ac:dyDescent="0.3">
      <c r="A52" s="2"/>
      <c r="B52" s="15"/>
      <c r="C52" s="3"/>
      <c r="D52" s="13">
        <f t="shared" si="1"/>
        <v>0</v>
      </c>
      <c r="E52" s="10"/>
      <c r="F52" s="17"/>
      <c r="G52" s="17"/>
    </row>
    <row r="53" spans="1:7" ht="18.75" x14ac:dyDescent="0.3">
      <c r="A53" s="2"/>
      <c r="B53" s="12"/>
      <c r="C53" s="3"/>
      <c r="D53" s="13"/>
      <c r="E53" s="10"/>
      <c r="F53" s="10"/>
      <c r="G53" s="10"/>
    </row>
    <row r="54" spans="1:7" ht="18.75" x14ac:dyDescent="0.3">
      <c r="A54" s="2"/>
      <c r="B54" s="12"/>
      <c r="C54" s="3"/>
      <c r="D54" s="13"/>
      <c r="E54" s="10"/>
      <c r="F54" s="10"/>
      <c r="G54" s="10"/>
    </row>
    <row r="55" spans="1:7" ht="18.75" x14ac:dyDescent="0.3">
      <c r="A55" s="18"/>
      <c r="B55" s="19"/>
      <c r="C55" s="20"/>
      <c r="D55" s="13"/>
      <c r="E55" s="10"/>
      <c r="F55" s="10"/>
      <c r="G55" s="10"/>
    </row>
    <row r="56" spans="1:7" ht="18.75" x14ac:dyDescent="0.3">
      <c r="A56" s="1" t="s">
        <v>10</v>
      </c>
      <c r="B56" s="1" t="s">
        <v>11</v>
      </c>
      <c r="C56" s="1" t="s">
        <v>12</v>
      </c>
      <c r="D56" s="1" t="s">
        <v>13</v>
      </c>
      <c r="E56" s="1" t="s">
        <v>14</v>
      </c>
      <c r="F56" s="10"/>
      <c r="G56" s="10"/>
    </row>
    <row r="57" spans="1:7" ht="18.75" x14ac:dyDescent="0.3">
      <c r="A57" s="3" t="s">
        <v>27</v>
      </c>
      <c r="B57" s="38" t="s">
        <v>69</v>
      </c>
      <c r="C57" s="3">
        <v>291</v>
      </c>
      <c r="D57" s="5">
        <v>16878</v>
      </c>
      <c r="E57" s="3"/>
      <c r="F57" s="10"/>
      <c r="G57" s="10"/>
    </row>
    <row r="58" spans="1:7" ht="18.75" x14ac:dyDescent="0.3">
      <c r="A58" s="3" t="s">
        <v>16</v>
      </c>
      <c r="B58" s="38" t="s">
        <v>77</v>
      </c>
      <c r="C58" s="3">
        <v>891</v>
      </c>
      <c r="D58" s="5">
        <v>76626</v>
      </c>
      <c r="E58" s="5"/>
      <c r="F58" s="10"/>
      <c r="G58" s="10"/>
    </row>
    <row r="59" spans="1:7" ht="18.75" x14ac:dyDescent="0.3">
      <c r="A59" s="3" t="s">
        <v>17</v>
      </c>
      <c r="B59" s="38" t="s">
        <v>68</v>
      </c>
      <c r="C59" s="3">
        <v>1782</v>
      </c>
      <c r="D59" s="5">
        <v>114048</v>
      </c>
      <c r="E59" s="5"/>
      <c r="F59" s="10"/>
      <c r="G59" s="10"/>
    </row>
    <row r="60" spans="1:7" ht="18.75" x14ac:dyDescent="0.3">
      <c r="A60" s="3" t="s">
        <v>16</v>
      </c>
      <c r="B60" s="38" t="s">
        <v>115</v>
      </c>
      <c r="C60" s="5">
        <v>717</v>
      </c>
      <c r="D60" s="5">
        <v>61662</v>
      </c>
      <c r="E60" s="3"/>
      <c r="F60" s="10"/>
      <c r="G60" s="10"/>
    </row>
    <row r="61" spans="1:7" ht="18.75" x14ac:dyDescent="0.3">
      <c r="A61" s="6" t="s">
        <v>31</v>
      </c>
      <c r="B61" s="4" t="s">
        <v>107</v>
      </c>
      <c r="C61" s="3">
        <v>1782</v>
      </c>
      <c r="D61" s="5">
        <v>106920</v>
      </c>
      <c r="E61" s="5"/>
      <c r="F61" s="10"/>
      <c r="G61" s="10"/>
    </row>
    <row r="62" spans="1:7" ht="18.75" x14ac:dyDescent="0.3">
      <c r="A62" s="3" t="s">
        <v>15</v>
      </c>
      <c r="B62" s="38" t="s">
        <v>73</v>
      </c>
      <c r="C62" s="3">
        <v>600</v>
      </c>
      <c r="D62" s="5">
        <v>34800</v>
      </c>
      <c r="E62" s="5"/>
      <c r="F62" s="10"/>
      <c r="G62" s="10"/>
    </row>
    <row r="63" spans="1:7" ht="18.75" x14ac:dyDescent="0.3">
      <c r="A63" s="3" t="s">
        <v>63</v>
      </c>
      <c r="B63" s="4" t="s">
        <v>67</v>
      </c>
      <c r="C63" s="3">
        <v>1782</v>
      </c>
      <c r="D63" s="5">
        <v>151893</v>
      </c>
      <c r="E63" s="5"/>
      <c r="F63" s="10"/>
      <c r="G63" s="10"/>
    </row>
    <row r="64" spans="1:7" ht="18.75" x14ac:dyDescent="0.3">
      <c r="A64" s="3" t="s">
        <v>42</v>
      </c>
      <c r="B64" s="4" t="s">
        <v>66</v>
      </c>
      <c r="C64" s="3">
        <v>891</v>
      </c>
      <c r="D64" s="5">
        <v>51678</v>
      </c>
      <c r="E64" s="3"/>
      <c r="F64" s="10"/>
      <c r="G64" s="10"/>
    </row>
    <row r="65" spans="1:9" ht="18.75" x14ac:dyDescent="0.3">
      <c r="A65" s="3" t="s">
        <v>42</v>
      </c>
      <c r="B65" s="4" t="s">
        <v>76</v>
      </c>
      <c r="C65" s="3">
        <v>891</v>
      </c>
      <c r="D65" s="5">
        <v>79299</v>
      </c>
      <c r="E65" s="3"/>
      <c r="F65" s="10"/>
      <c r="G65" s="10"/>
    </row>
    <row r="66" spans="1:9" ht="18.75" x14ac:dyDescent="0.3">
      <c r="A66" s="3" t="s">
        <v>17</v>
      </c>
      <c r="B66" s="38" t="s">
        <v>106</v>
      </c>
      <c r="C66" s="3">
        <v>1782</v>
      </c>
      <c r="D66" s="5">
        <v>117612</v>
      </c>
      <c r="E66" s="3"/>
      <c r="F66" s="10"/>
      <c r="G66" s="10"/>
    </row>
    <row r="67" spans="1:9" ht="18.75" x14ac:dyDescent="0.3">
      <c r="A67" s="3" t="s">
        <v>27</v>
      </c>
      <c r="B67" s="4" t="s">
        <v>62</v>
      </c>
      <c r="C67" s="3">
        <v>1782</v>
      </c>
      <c r="D67" s="5">
        <v>76626</v>
      </c>
      <c r="E67" s="3"/>
      <c r="F67" s="10"/>
      <c r="G67" s="10"/>
    </row>
    <row r="68" spans="1:9" ht="18.75" x14ac:dyDescent="0.3">
      <c r="A68" s="3" t="s">
        <v>42</v>
      </c>
      <c r="B68" s="38" t="s">
        <v>96</v>
      </c>
      <c r="C68" s="5">
        <v>666</v>
      </c>
      <c r="D68" s="5">
        <v>59274</v>
      </c>
      <c r="E68" s="3"/>
      <c r="F68" s="10"/>
      <c r="G68" s="10"/>
    </row>
    <row r="69" spans="1:9" ht="18.75" x14ac:dyDescent="0.3">
      <c r="A69" s="3" t="s">
        <v>27</v>
      </c>
      <c r="B69" s="38" t="s">
        <v>95</v>
      </c>
      <c r="C69" s="3">
        <v>225</v>
      </c>
      <c r="D69" s="5"/>
      <c r="E69" s="37"/>
    </row>
    <row r="70" spans="1:9" ht="18.75" x14ac:dyDescent="0.3">
      <c r="A70" s="3" t="s">
        <v>15</v>
      </c>
      <c r="B70" s="38" t="s">
        <v>105</v>
      </c>
      <c r="C70" s="3">
        <v>174</v>
      </c>
      <c r="D70" s="5">
        <v>14964</v>
      </c>
      <c r="E70" s="37"/>
    </row>
    <row r="72" spans="1:9" ht="18.75" x14ac:dyDescent="0.3">
      <c r="A72" s="35" t="s">
        <v>0</v>
      </c>
      <c r="B72" s="35" t="s">
        <v>1</v>
      </c>
      <c r="C72" s="35" t="s">
        <v>2</v>
      </c>
      <c r="D72" s="35" t="s">
        <v>3</v>
      </c>
      <c r="E72" s="35" t="s">
        <v>4</v>
      </c>
      <c r="F72" s="35" t="s">
        <v>5</v>
      </c>
      <c r="G72" s="35" t="s">
        <v>6</v>
      </c>
      <c r="H72" s="10"/>
    </row>
    <row r="73" spans="1:9" ht="18.75" x14ac:dyDescent="0.3">
      <c r="A73" s="22">
        <v>1675</v>
      </c>
      <c r="B73" s="22" t="s">
        <v>19</v>
      </c>
      <c r="C73" s="23" t="s">
        <v>108</v>
      </c>
      <c r="D73" s="24">
        <v>1200</v>
      </c>
      <c r="E73" s="22">
        <v>1500</v>
      </c>
      <c r="F73" s="25" t="s">
        <v>90</v>
      </c>
      <c r="G73" s="26">
        <v>1800000</v>
      </c>
      <c r="H73" s="10"/>
    </row>
    <row r="74" spans="1:9" ht="18.75" x14ac:dyDescent="0.3">
      <c r="A74" s="1" t="s">
        <v>7</v>
      </c>
      <c r="B74" s="7">
        <v>9</v>
      </c>
      <c r="C74" s="8" t="s">
        <v>3</v>
      </c>
      <c r="D74" s="8" t="s">
        <v>8</v>
      </c>
      <c r="E74" s="9">
        <v>1080000</v>
      </c>
      <c r="F74" s="10"/>
      <c r="G74" s="11">
        <v>720000</v>
      </c>
      <c r="H74" s="10"/>
      <c r="I74" s="10"/>
    </row>
    <row r="75" spans="1:9" ht="18.75" x14ac:dyDescent="0.3">
      <c r="A75" s="2" t="s">
        <v>78</v>
      </c>
      <c r="B75" s="12">
        <v>200</v>
      </c>
      <c r="C75" s="5">
        <v>300</v>
      </c>
      <c r="D75" s="13">
        <f>B75*C75</f>
        <v>60000</v>
      </c>
      <c r="E75" s="21">
        <v>0.6</v>
      </c>
      <c r="F75" s="10"/>
      <c r="G75" s="21">
        <v>0.4</v>
      </c>
      <c r="H75" s="10"/>
      <c r="I75" s="10"/>
    </row>
    <row r="76" spans="1:9" ht="18.75" x14ac:dyDescent="0.3">
      <c r="A76" s="2" t="s">
        <v>79</v>
      </c>
      <c r="B76" s="12">
        <v>80</v>
      </c>
      <c r="C76" s="3">
        <v>300</v>
      </c>
      <c r="D76" s="13">
        <f t="shared" ref="D76:D83" si="2">B76*C76</f>
        <v>24000</v>
      </c>
      <c r="E76" s="10"/>
      <c r="F76" s="10"/>
      <c r="G76" s="10"/>
      <c r="H76" s="10"/>
      <c r="I76" s="10"/>
    </row>
    <row r="77" spans="1:9" ht="18.75" x14ac:dyDescent="0.3">
      <c r="A77" s="2" t="s">
        <v>80</v>
      </c>
      <c r="B77" s="12">
        <v>65</v>
      </c>
      <c r="C77" s="3">
        <v>300</v>
      </c>
      <c r="D77" s="13">
        <f t="shared" si="2"/>
        <v>19500</v>
      </c>
      <c r="E77" s="10"/>
      <c r="F77" s="10"/>
      <c r="G77" s="10"/>
      <c r="H77" s="10"/>
      <c r="I77" s="10"/>
    </row>
    <row r="78" spans="1:9" ht="18.75" x14ac:dyDescent="0.3">
      <c r="A78" s="2" t="s">
        <v>75</v>
      </c>
      <c r="B78" s="12">
        <v>66</v>
      </c>
      <c r="C78" s="5">
        <v>1200</v>
      </c>
      <c r="D78" s="13">
        <f t="shared" si="2"/>
        <v>79200</v>
      </c>
      <c r="E78" s="10"/>
      <c r="F78" s="10"/>
      <c r="G78" s="10"/>
      <c r="H78" s="10"/>
      <c r="I78" s="10"/>
    </row>
    <row r="79" spans="1:9" ht="18.75" x14ac:dyDescent="0.3">
      <c r="A79" s="2" t="s">
        <v>81</v>
      </c>
      <c r="B79" s="12">
        <v>64</v>
      </c>
      <c r="C79" s="3">
        <v>600</v>
      </c>
      <c r="D79" s="13">
        <f t="shared" si="2"/>
        <v>38400</v>
      </c>
      <c r="E79" s="10"/>
      <c r="F79" s="10"/>
      <c r="G79" s="14">
        <f>E74-D90-D91-D92-D93-D94-D95-D96-D97-D98-D99-D100-D101-D102-D103-D104-D105</f>
        <v>0</v>
      </c>
      <c r="H79" s="10"/>
    </row>
    <row r="80" spans="1:9" ht="18.75" x14ac:dyDescent="0.3">
      <c r="A80" s="2" t="s">
        <v>82</v>
      </c>
      <c r="B80" s="12">
        <v>200</v>
      </c>
      <c r="C80" s="3">
        <v>1200</v>
      </c>
      <c r="D80" s="13">
        <f t="shared" si="2"/>
        <v>240000</v>
      </c>
      <c r="E80" s="10"/>
      <c r="F80" s="10"/>
      <c r="G80" s="10"/>
      <c r="H80" s="10"/>
    </row>
    <row r="81" spans="1:7" ht="18.75" x14ac:dyDescent="0.3">
      <c r="A81" s="2" t="s">
        <v>83</v>
      </c>
      <c r="B81" s="12">
        <v>65</v>
      </c>
      <c r="C81" s="3">
        <v>1200</v>
      </c>
      <c r="D81" s="13">
        <f t="shared" si="2"/>
        <v>78000</v>
      </c>
      <c r="E81" s="10"/>
      <c r="F81" s="10"/>
      <c r="G81" s="10"/>
    </row>
    <row r="82" spans="1:7" ht="18.75" x14ac:dyDescent="0.3">
      <c r="A82" s="2" t="s">
        <v>84</v>
      </c>
      <c r="B82" s="15">
        <v>124</v>
      </c>
      <c r="C82" s="3">
        <v>1374</v>
      </c>
      <c r="D82" s="13">
        <f t="shared" si="2"/>
        <v>170376</v>
      </c>
      <c r="E82" s="10"/>
      <c r="F82" s="10"/>
      <c r="G82" s="10"/>
    </row>
    <row r="83" spans="1:7" ht="18.75" x14ac:dyDescent="0.3">
      <c r="A83" s="2" t="s">
        <v>94</v>
      </c>
      <c r="B83" s="12">
        <v>100</v>
      </c>
      <c r="C83" s="3">
        <v>600</v>
      </c>
      <c r="D83" s="13">
        <f t="shared" si="2"/>
        <v>60000</v>
      </c>
      <c r="E83" s="10"/>
      <c r="F83" s="10"/>
      <c r="G83" s="10"/>
    </row>
    <row r="84" spans="1:7" ht="18.75" x14ac:dyDescent="0.3">
      <c r="A84" s="2"/>
      <c r="B84" s="15"/>
      <c r="C84" s="3"/>
      <c r="D84" s="13"/>
      <c r="E84" s="10"/>
      <c r="F84" s="16"/>
      <c r="G84" s="16"/>
    </row>
    <row r="85" spans="1:7" ht="18.75" x14ac:dyDescent="0.3">
      <c r="A85" s="2"/>
      <c r="B85" s="15"/>
      <c r="C85" s="3"/>
      <c r="D85" s="13"/>
      <c r="E85" s="10"/>
      <c r="F85" s="17"/>
      <c r="G85" s="17"/>
    </row>
    <row r="86" spans="1:7" ht="18.75" x14ac:dyDescent="0.3">
      <c r="A86" s="2"/>
      <c r="B86" s="12"/>
      <c r="C86" s="3"/>
      <c r="D86" s="13"/>
      <c r="E86" s="10"/>
      <c r="F86" s="10"/>
      <c r="G86" s="10"/>
    </row>
    <row r="87" spans="1:7" ht="18.75" x14ac:dyDescent="0.3">
      <c r="A87" s="2"/>
      <c r="B87" s="12"/>
      <c r="C87" s="3"/>
      <c r="D87" s="13"/>
      <c r="E87" s="10"/>
      <c r="F87" s="10"/>
      <c r="G87" s="10"/>
    </row>
    <row r="88" spans="1:7" ht="18.75" x14ac:dyDescent="0.3">
      <c r="A88" s="18"/>
      <c r="B88" s="19"/>
      <c r="C88" s="20"/>
      <c r="D88" s="13"/>
      <c r="E88" s="10"/>
      <c r="F88" s="10"/>
      <c r="G88" s="10"/>
    </row>
    <row r="89" spans="1:7" ht="18.75" x14ac:dyDescent="0.3">
      <c r="A89" s="1" t="s">
        <v>10</v>
      </c>
      <c r="B89" s="1" t="s">
        <v>11</v>
      </c>
      <c r="C89" s="1" t="s">
        <v>12</v>
      </c>
      <c r="D89" s="1" t="s">
        <v>13</v>
      </c>
      <c r="E89" s="1" t="s">
        <v>14</v>
      </c>
      <c r="F89" s="10"/>
      <c r="G89" s="10"/>
    </row>
    <row r="90" spans="1:7" ht="18.75" x14ac:dyDescent="0.3">
      <c r="A90" s="3" t="s">
        <v>17</v>
      </c>
      <c r="B90" s="4" t="s">
        <v>110</v>
      </c>
      <c r="C90" s="3">
        <v>600</v>
      </c>
      <c r="D90" s="5">
        <v>38400</v>
      </c>
      <c r="E90" s="3"/>
      <c r="F90" s="10"/>
      <c r="G90" s="10"/>
    </row>
    <row r="91" spans="1:7" ht="18.75" x14ac:dyDescent="0.3">
      <c r="A91" s="3" t="s">
        <v>17</v>
      </c>
      <c r="B91" s="4" t="s">
        <v>109</v>
      </c>
      <c r="C91" s="3">
        <v>1200</v>
      </c>
      <c r="D91" s="5">
        <v>79200</v>
      </c>
      <c r="E91" s="5"/>
      <c r="F91" s="10"/>
      <c r="G91" s="10"/>
    </row>
    <row r="92" spans="1:7" ht="18.75" x14ac:dyDescent="0.3">
      <c r="A92" s="3" t="s">
        <v>17</v>
      </c>
      <c r="B92" s="4" t="s">
        <v>114</v>
      </c>
      <c r="C92" s="3">
        <v>600</v>
      </c>
      <c r="D92" s="5">
        <v>60000</v>
      </c>
      <c r="E92" s="5"/>
      <c r="F92" s="10"/>
      <c r="G92" s="10"/>
    </row>
    <row r="93" spans="1:7" ht="18.75" x14ac:dyDescent="0.3">
      <c r="A93" s="3" t="s">
        <v>42</v>
      </c>
      <c r="B93" s="4" t="s">
        <v>111</v>
      </c>
      <c r="C93" s="5">
        <v>900</v>
      </c>
      <c r="D93" s="5">
        <v>103500</v>
      </c>
      <c r="E93" s="3"/>
      <c r="F93" s="10"/>
      <c r="G93" s="10"/>
    </row>
    <row r="94" spans="1:7" ht="18.75" x14ac:dyDescent="0.3">
      <c r="A94" s="6" t="s">
        <v>15</v>
      </c>
      <c r="B94" s="4" t="s">
        <v>112</v>
      </c>
      <c r="C94" s="3">
        <v>900</v>
      </c>
      <c r="D94" s="5">
        <v>103500</v>
      </c>
      <c r="E94" s="5"/>
      <c r="F94" s="10"/>
      <c r="G94" s="10"/>
    </row>
    <row r="95" spans="1:7" ht="18.75" x14ac:dyDescent="0.3">
      <c r="A95" s="3" t="s">
        <v>113</v>
      </c>
      <c r="B95" s="4" t="s">
        <v>116</v>
      </c>
      <c r="C95" s="3">
        <v>300</v>
      </c>
      <c r="D95" s="5">
        <v>24000</v>
      </c>
      <c r="E95" s="5"/>
      <c r="F95" s="10"/>
      <c r="G95" s="10"/>
    </row>
    <row r="96" spans="1:7" ht="18.75" x14ac:dyDescent="0.3">
      <c r="A96" s="3" t="s">
        <v>58</v>
      </c>
      <c r="B96" s="4" t="s">
        <v>117</v>
      </c>
      <c r="C96" s="3">
        <v>300</v>
      </c>
      <c r="D96" s="5">
        <v>19500</v>
      </c>
      <c r="E96" s="5"/>
      <c r="F96" s="10"/>
      <c r="G96" s="10"/>
    </row>
    <row r="97" spans="1:7" ht="18.75" x14ac:dyDescent="0.3">
      <c r="A97" s="3" t="s">
        <v>16</v>
      </c>
      <c r="B97" s="4" t="s">
        <v>127</v>
      </c>
      <c r="C97" s="3">
        <v>900</v>
      </c>
      <c r="D97" s="5">
        <v>103500</v>
      </c>
      <c r="E97" s="3"/>
      <c r="F97" s="10"/>
      <c r="G97" s="10"/>
    </row>
    <row r="98" spans="1:7" ht="18.75" x14ac:dyDescent="0.3">
      <c r="A98" s="3" t="s">
        <v>63</v>
      </c>
      <c r="B98" s="4" t="s">
        <v>41</v>
      </c>
      <c r="C98" s="3">
        <v>1200</v>
      </c>
      <c r="D98" s="5">
        <v>170400</v>
      </c>
      <c r="E98" s="3"/>
      <c r="F98" s="10"/>
      <c r="G98" s="10"/>
    </row>
    <row r="99" spans="1:7" ht="18.75" x14ac:dyDescent="0.3">
      <c r="A99" s="3" t="s">
        <v>113</v>
      </c>
      <c r="B99" s="4" t="s">
        <v>118</v>
      </c>
      <c r="C99" s="3">
        <v>300</v>
      </c>
      <c r="D99" s="5">
        <v>60000</v>
      </c>
      <c r="E99" s="3"/>
      <c r="F99" s="10"/>
      <c r="G99" s="10"/>
    </row>
    <row r="100" spans="1:7" ht="18.75" x14ac:dyDescent="0.3">
      <c r="A100" s="3" t="s">
        <v>119</v>
      </c>
      <c r="B100" s="4" t="s">
        <v>120</v>
      </c>
      <c r="C100" s="3">
        <v>1200</v>
      </c>
      <c r="D100" s="5">
        <v>78000</v>
      </c>
      <c r="E100" s="3"/>
      <c r="F100" s="10"/>
      <c r="G100" s="10"/>
    </row>
    <row r="101" spans="1:7" ht="18.75" x14ac:dyDescent="0.3">
      <c r="A101" s="3" t="s">
        <v>150</v>
      </c>
      <c r="B101" s="4" t="s">
        <v>121</v>
      </c>
      <c r="C101" s="3">
        <v>1200</v>
      </c>
      <c r="D101" s="5">
        <v>240000</v>
      </c>
      <c r="E101" s="3"/>
      <c r="F101" s="10"/>
      <c r="G101" s="10"/>
    </row>
    <row r="102" spans="1:7" ht="18.75" x14ac:dyDescent="0.3">
      <c r="A102" s="3"/>
      <c r="B102" s="4"/>
      <c r="C102" s="3"/>
      <c r="D102" s="5"/>
      <c r="E102" s="3"/>
      <c r="F102" s="10"/>
      <c r="G102" s="10"/>
    </row>
    <row r="103" spans="1:7" ht="18.75" x14ac:dyDescent="0.3">
      <c r="A103" s="3"/>
      <c r="B103" s="4"/>
      <c r="C103" s="3"/>
      <c r="D103" s="5"/>
      <c r="E103" s="3"/>
      <c r="F103" s="10"/>
      <c r="G103" s="10"/>
    </row>
    <row r="104" spans="1:7" ht="18.75" x14ac:dyDescent="0.3">
      <c r="A104" s="3"/>
      <c r="B104" s="4"/>
      <c r="C104" s="3"/>
      <c r="D104" s="5"/>
      <c r="E104" s="3"/>
      <c r="F104" s="10"/>
      <c r="G104" s="10"/>
    </row>
    <row r="105" spans="1:7" ht="18.75" x14ac:dyDescent="0.3">
      <c r="A105" s="3"/>
      <c r="B105" s="4"/>
      <c r="C105" s="5"/>
      <c r="D105" s="5"/>
      <c r="E105" s="3"/>
      <c r="F105" s="10"/>
      <c r="G105" s="10"/>
    </row>
    <row r="108" spans="1:7" ht="18.75" x14ac:dyDescent="0.3">
      <c r="A108" s="35" t="s">
        <v>0</v>
      </c>
      <c r="B108" s="35" t="s">
        <v>1</v>
      </c>
      <c r="C108" s="35" t="s">
        <v>2</v>
      </c>
      <c r="D108" s="35" t="s">
        <v>3</v>
      </c>
      <c r="E108" s="35" t="s">
        <v>4</v>
      </c>
      <c r="F108" s="35" t="s">
        <v>5</v>
      </c>
      <c r="G108" s="35" t="s">
        <v>6</v>
      </c>
    </row>
    <row r="109" spans="1:7" ht="18.75" x14ac:dyDescent="0.3">
      <c r="A109" s="22">
        <v>1676</v>
      </c>
      <c r="B109" s="22" t="s">
        <v>91</v>
      </c>
      <c r="C109" s="23" t="s">
        <v>92</v>
      </c>
      <c r="D109" s="24">
        <v>1200</v>
      </c>
      <c r="E109" s="22">
        <v>800</v>
      </c>
      <c r="F109" s="25" t="s">
        <v>93</v>
      </c>
      <c r="G109" s="26">
        <v>960000</v>
      </c>
    </row>
    <row r="110" spans="1:7" ht="18.75" x14ac:dyDescent="0.3">
      <c r="A110" s="1" t="s">
        <v>7</v>
      </c>
      <c r="B110" s="7">
        <v>4.8</v>
      </c>
      <c r="C110" s="8" t="s">
        <v>3</v>
      </c>
      <c r="D110" s="8" t="s">
        <v>8</v>
      </c>
      <c r="E110" s="9">
        <v>576000</v>
      </c>
      <c r="F110" s="10"/>
      <c r="G110" s="11">
        <v>384000</v>
      </c>
    </row>
    <row r="111" spans="1:7" ht="18.75" x14ac:dyDescent="0.3">
      <c r="A111" s="2" t="s">
        <v>85</v>
      </c>
      <c r="B111" s="12">
        <v>100</v>
      </c>
      <c r="C111" s="5">
        <v>300</v>
      </c>
      <c r="D111" s="52">
        <f>B111*C111</f>
        <v>30000</v>
      </c>
      <c r="E111" s="21">
        <v>0.6</v>
      </c>
      <c r="F111" s="10"/>
      <c r="G111" s="21">
        <v>0.4</v>
      </c>
    </row>
    <row r="112" spans="1:7" ht="18.75" x14ac:dyDescent="0.3">
      <c r="A112" s="2" t="s">
        <v>86</v>
      </c>
      <c r="B112" s="12">
        <v>52</v>
      </c>
      <c r="C112" s="3">
        <v>300</v>
      </c>
      <c r="D112" s="52">
        <f t="shared" ref="D112:D123" si="3">B112*C112</f>
        <v>15600</v>
      </c>
      <c r="E112" s="10"/>
      <c r="F112" s="10"/>
      <c r="G112" s="10"/>
    </row>
    <row r="113" spans="1:7" ht="18.75" x14ac:dyDescent="0.3">
      <c r="A113" s="2" t="s">
        <v>87</v>
      </c>
      <c r="B113" s="12">
        <v>160</v>
      </c>
      <c r="C113" s="3">
        <v>1200</v>
      </c>
      <c r="D113" s="52">
        <f t="shared" si="3"/>
        <v>192000</v>
      </c>
      <c r="E113" s="10"/>
      <c r="F113" s="10"/>
      <c r="G113" s="10"/>
    </row>
    <row r="114" spans="1:7" ht="18.75" x14ac:dyDescent="0.3">
      <c r="A114" s="2" t="s">
        <v>88</v>
      </c>
      <c r="B114" s="12">
        <v>65</v>
      </c>
      <c r="C114" s="5">
        <v>1200</v>
      </c>
      <c r="D114" s="52">
        <f t="shared" si="3"/>
        <v>78000</v>
      </c>
      <c r="E114" s="10"/>
      <c r="F114" s="10"/>
      <c r="G114" s="10"/>
    </row>
    <row r="115" spans="1:7" ht="18.75" x14ac:dyDescent="0.3">
      <c r="A115" s="2" t="s">
        <v>53</v>
      </c>
      <c r="B115" s="12">
        <v>43</v>
      </c>
      <c r="C115" s="3">
        <v>1200</v>
      </c>
      <c r="D115" s="52">
        <f t="shared" si="3"/>
        <v>51600</v>
      </c>
      <c r="E115" s="10"/>
      <c r="F115" s="10"/>
      <c r="G115" s="14">
        <f>E110-D126-D127-D128-D129-D130-D131-D132-D133-D134-D135-D136-D137-D138-D139-D140-D141</f>
        <v>0</v>
      </c>
    </row>
    <row r="116" spans="1:7" ht="18.75" x14ac:dyDescent="0.3">
      <c r="A116" s="2" t="s">
        <v>89</v>
      </c>
      <c r="B116" s="12">
        <v>60</v>
      </c>
      <c r="C116" s="3">
        <v>1200</v>
      </c>
      <c r="D116" s="52">
        <f t="shared" si="3"/>
        <v>72000</v>
      </c>
      <c r="E116" s="10"/>
      <c r="F116" s="10"/>
      <c r="G116" s="10"/>
    </row>
    <row r="117" spans="1:7" ht="18.75" x14ac:dyDescent="0.3">
      <c r="A117" s="2"/>
      <c r="B117" s="12"/>
      <c r="C117" s="3"/>
      <c r="D117" s="13">
        <f t="shared" si="3"/>
        <v>0</v>
      </c>
      <c r="E117" s="10"/>
      <c r="F117" s="10"/>
      <c r="G117" s="10"/>
    </row>
    <row r="118" spans="1:7" ht="18.75" x14ac:dyDescent="0.3">
      <c r="A118" s="2"/>
      <c r="B118" s="15"/>
      <c r="C118" s="3"/>
      <c r="D118" s="13">
        <f t="shared" si="3"/>
        <v>0</v>
      </c>
      <c r="E118" s="10"/>
      <c r="F118" s="10"/>
      <c r="G118" s="10"/>
    </row>
    <row r="119" spans="1:7" ht="18.75" x14ac:dyDescent="0.3">
      <c r="A119" s="2"/>
      <c r="B119" s="12"/>
      <c r="C119" s="3"/>
      <c r="D119" s="13">
        <f t="shared" si="3"/>
        <v>0</v>
      </c>
      <c r="E119" s="10"/>
      <c r="F119" s="10"/>
      <c r="G119" s="10"/>
    </row>
    <row r="120" spans="1:7" ht="18.75" x14ac:dyDescent="0.3">
      <c r="A120" s="2"/>
      <c r="B120" s="15"/>
      <c r="C120" s="3"/>
      <c r="D120" s="13">
        <f t="shared" si="3"/>
        <v>0</v>
      </c>
      <c r="E120" s="10"/>
      <c r="F120" s="16"/>
      <c r="G120" s="16"/>
    </row>
    <row r="121" spans="1:7" ht="18.75" x14ac:dyDescent="0.3">
      <c r="A121" s="2"/>
      <c r="B121" s="15"/>
      <c r="C121" s="3"/>
      <c r="D121" s="13">
        <f t="shared" si="3"/>
        <v>0</v>
      </c>
      <c r="E121" s="10"/>
      <c r="F121" s="17"/>
      <c r="G121" s="17"/>
    </row>
    <row r="122" spans="1:7" ht="18.75" x14ac:dyDescent="0.3">
      <c r="A122" s="2"/>
      <c r="B122" s="12"/>
      <c r="C122" s="3"/>
      <c r="D122" s="13">
        <f t="shared" si="3"/>
        <v>0</v>
      </c>
      <c r="E122" s="10"/>
      <c r="F122" s="10"/>
      <c r="G122" s="10"/>
    </row>
    <row r="123" spans="1:7" ht="18.75" x14ac:dyDescent="0.3">
      <c r="A123" s="2"/>
      <c r="B123" s="12"/>
      <c r="C123" s="3"/>
      <c r="D123" s="13">
        <f t="shared" si="3"/>
        <v>0</v>
      </c>
      <c r="E123" s="10"/>
      <c r="F123" s="10"/>
      <c r="G123" s="10"/>
    </row>
    <row r="124" spans="1:7" ht="18.75" x14ac:dyDescent="0.3">
      <c r="A124" s="18"/>
      <c r="B124" s="19"/>
      <c r="C124" s="20"/>
      <c r="D124" s="13"/>
      <c r="E124" s="10"/>
      <c r="F124" s="10"/>
      <c r="G124" s="10"/>
    </row>
    <row r="125" spans="1:7" ht="18.75" x14ac:dyDescent="0.3">
      <c r="A125" s="1" t="s">
        <v>10</v>
      </c>
      <c r="B125" s="1" t="s">
        <v>11</v>
      </c>
      <c r="C125" s="1" t="s">
        <v>12</v>
      </c>
      <c r="D125" s="1" t="s">
        <v>13</v>
      </c>
      <c r="E125" s="1" t="s">
        <v>14</v>
      </c>
      <c r="F125" s="10"/>
      <c r="G125" s="10"/>
    </row>
    <row r="126" spans="1:7" ht="18.75" x14ac:dyDescent="0.3">
      <c r="A126" s="3" t="s">
        <v>16</v>
      </c>
      <c r="B126" s="4" t="s">
        <v>146</v>
      </c>
      <c r="C126" s="3">
        <v>600</v>
      </c>
      <c r="D126" s="51">
        <v>45600</v>
      </c>
      <c r="E126" s="3"/>
      <c r="F126" s="10"/>
      <c r="G126" s="10"/>
    </row>
    <row r="127" spans="1:7" ht="18.75" x14ac:dyDescent="0.3">
      <c r="A127" s="3" t="s">
        <v>42</v>
      </c>
      <c r="B127" s="4" t="s">
        <v>153</v>
      </c>
      <c r="C127" s="3">
        <v>900</v>
      </c>
      <c r="D127" s="51">
        <v>136800</v>
      </c>
      <c r="E127" s="5"/>
      <c r="F127" s="10"/>
      <c r="G127" s="10"/>
    </row>
    <row r="128" spans="1:7" ht="18.75" x14ac:dyDescent="0.3">
      <c r="A128" s="3" t="s">
        <v>17</v>
      </c>
      <c r="B128" s="4" t="s">
        <v>154</v>
      </c>
      <c r="C128" s="3">
        <v>1200</v>
      </c>
      <c r="D128" s="51">
        <v>192000</v>
      </c>
      <c r="E128" s="5"/>
      <c r="F128" s="10"/>
      <c r="G128" s="10"/>
    </row>
    <row r="129" spans="1:7" ht="18.75" x14ac:dyDescent="0.3">
      <c r="A129" s="3" t="s">
        <v>42</v>
      </c>
      <c r="B129" s="4" t="s">
        <v>161</v>
      </c>
      <c r="C129" s="5">
        <v>120</v>
      </c>
      <c r="D129" s="51">
        <v>72000</v>
      </c>
      <c r="E129" s="3"/>
      <c r="F129" s="10"/>
      <c r="G129" s="10"/>
    </row>
    <row r="130" spans="1:7" ht="18.75" x14ac:dyDescent="0.3">
      <c r="A130" s="6" t="s">
        <v>29</v>
      </c>
      <c r="B130" s="4" t="s">
        <v>88</v>
      </c>
      <c r="C130" s="3">
        <v>1200</v>
      </c>
      <c r="D130" s="51">
        <v>78000</v>
      </c>
      <c r="E130" s="5"/>
      <c r="F130" s="10"/>
      <c r="G130" s="10"/>
    </row>
    <row r="131" spans="1:7" ht="18.75" x14ac:dyDescent="0.3">
      <c r="A131" s="3" t="s">
        <v>63</v>
      </c>
      <c r="B131" s="4" t="s">
        <v>41</v>
      </c>
      <c r="C131" s="3"/>
      <c r="D131" s="51"/>
      <c r="E131" s="5"/>
      <c r="F131" s="10"/>
      <c r="G131" s="10"/>
    </row>
    <row r="132" spans="1:7" ht="18.75" x14ac:dyDescent="0.3">
      <c r="A132" s="3" t="s">
        <v>15</v>
      </c>
      <c r="B132" s="4" t="s">
        <v>101</v>
      </c>
      <c r="C132" s="3">
        <v>1200</v>
      </c>
      <c r="D132" s="51">
        <v>51600</v>
      </c>
      <c r="E132" s="5"/>
      <c r="F132" s="10"/>
      <c r="G132" s="10"/>
    </row>
    <row r="133" spans="1:7" ht="18.75" x14ac:dyDescent="0.3">
      <c r="A133" s="3"/>
      <c r="B133" s="4"/>
      <c r="C133" s="3"/>
      <c r="D133" s="5"/>
      <c r="E133" s="3"/>
      <c r="F133" s="10"/>
      <c r="G133" s="10"/>
    </row>
    <row r="134" spans="1:7" ht="18.75" x14ac:dyDescent="0.3">
      <c r="A134" s="3"/>
      <c r="B134" s="4"/>
      <c r="C134" s="3"/>
      <c r="D134" s="5"/>
      <c r="E134" s="3"/>
      <c r="F134" s="10"/>
      <c r="G134" s="10"/>
    </row>
    <row r="135" spans="1:7" ht="18.75" x14ac:dyDescent="0.3">
      <c r="A135" s="3"/>
      <c r="B135" s="4"/>
      <c r="C135" s="3"/>
      <c r="D135" s="5"/>
      <c r="E135" s="3"/>
      <c r="F135" s="10"/>
      <c r="G135" s="10"/>
    </row>
    <row r="136" spans="1:7" ht="18.75" x14ac:dyDescent="0.3">
      <c r="A136" s="3"/>
      <c r="B136" s="4"/>
      <c r="C136" s="3"/>
      <c r="D136" s="5"/>
      <c r="E136" s="3"/>
      <c r="F136" s="10"/>
      <c r="G136" s="10"/>
    </row>
    <row r="137" spans="1:7" ht="18.75" x14ac:dyDescent="0.3">
      <c r="A137" s="3"/>
      <c r="B137" s="4"/>
      <c r="C137" s="3"/>
      <c r="D137" s="5"/>
      <c r="E137" s="3"/>
      <c r="F137" s="10"/>
      <c r="G137" s="10"/>
    </row>
    <row r="138" spans="1:7" ht="18.75" x14ac:dyDescent="0.3">
      <c r="A138" s="3"/>
      <c r="B138" s="4"/>
      <c r="C138" s="3"/>
      <c r="D138" s="5"/>
      <c r="E138" s="3"/>
      <c r="F138" s="10"/>
      <c r="G138" s="10"/>
    </row>
    <row r="139" spans="1:7" ht="18.75" x14ac:dyDescent="0.3">
      <c r="A139" s="3"/>
      <c r="B139" s="4"/>
      <c r="C139" s="3"/>
      <c r="D139" s="5"/>
      <c r="E139" s="3"/>
      <c r="F139" s="10"/>
      <c r="G139" s="10"/>
    </row>
    <row r="140" spans="1:7" ht="18.75" x14ac:dyDescent="0.3">
      <c r="A140" s="3"/>
      <c r="B140" s="4"/>
      <c r="C140" s="3"/>
      <c r="D140" s="5"/>
      <c r="E140" s="3"/>
      <c r="F140" s="10"/>
      <c r="G140" s="10"/>
    </row>
    <row r="141" spans="1:7" ht="18.75" x14ac:dyDescent="0.3">
      <c r="A141" s="3"/>
      <c r="B141" s="4"/>
      <c r="C141" s="5"/>
      <c r="D141" s="5"/>
      <c r="E141" s="3"/>
      <c r="F141" s="10"/>
      <c r="G141" s="10"/>
    </row>
    <row r="144" spans="1:7" ht="22.5" x14ac:dyDescent="0.45">
      <c r="A144" s="135" t="s">
        <v>200</v>
      </c>
      <c r="B144" s="136"/>
      <c r="C144" s="136"/>
      <c r="D144" s="137"/>
    </row>
    <row r="147" spans="1:7" ht="18.75" x14ac:dyDescent="0.3">
      <c r="A147" s="35" t="s">
        <v>0</v>
      </c>
      <c r="B147" s="35" t="s">
        <v>1</v>
      </c>
      <c r="C147" s="35" t="s">
        <v>2</v>
      </c>
      <c r="D147" s="35" t="s">
        <v>3</v>
      </c>
      <c r="E147" s="35" t="s">
        <v>4</v>
      </c>
      <c r="F147" s="35" t="s">
        <v>5</v>
      </c>
      <c r="G147" s="35" t="s">
        <v>6</v>
      </c>
    </row>
    <row r="148" spans="1:7" ht="18.75" x14ac:dyDescent="0.3">
      <c r="A148" s="22">
        <v>1708</v>
      </c>
      <c r="B148" s="22" t="s">
        <v>19</v>
      </c>
      <c r="C148" s="23" t="s">
        <v>170</v>
      </c>
      <c r="D148" s="24">
        <v>1735</v>
      </c>
      <c r="E148" s="22">
        <v>900</v>
      </c>
      <c r="F148" s="25" t="s">
        <v>172</v>
      </c>
      <c r="G148" s="26">
        <v>1561500</v>
      </c>
    </row>
    <row r="149" spans="1:7" ht="18.75" x14ac:dyDescent="0.3">
      <c r="A149" s="1" t="s">
        <v>7</v>
      </c>
      <c r="B149" s="7">
        <v>5.4</v>
      </c>
      <c r="C149" s="48" t="s">
        <v>3</v>
      </c>
      <c r="D149" s="48" t="s">
        <v>8</v>
      </c>
      <c r="E149" s="46">
        <v>936900</v>
      </c>
      <c r="F149" s="10"/>
      <c r="G149" s="11">
        <v>624600</v>
      </c>
    </row>
    <row r="150" spans="1:7" ht="18.75" x14ac:dyDescent="0.3">
      <c r="A150" s="2" t="s">
        <v>128</v>
      </c>
      <c r="B150" s="12">
        <v>80</v>
      </c>
      <c r="C150" s="5">
        <v>1735</v>
      </c>
      <c r="D150" s="50">
        <f>B150*C150</f>
        <v>138800</v>
      </c>
      <c r="E150" s="21">
        <v>0.6</v>
      </c>
      <c r="F150" s="10"/>
      <c r="G150" s="21">
        <v>0.4</v>
      </c>
    </row>
    <row r="151" spans="1:7" ht="18.75" x14ac:dyDescent="0.3">
      <c r="A151" s="2" t="s">
        <v>61</v>
      </c>
      <c r="B151" s="12">
        <v>68</v>
      </c>
      <c r="C151" s="3">
        <v>1735</v>
      </c>
      <c r="D151" s="50">
        <f t="shared" ref="D151:D159" si="4">B151*C151</f>
        <v>117980</v>
      </c>
      <c r="E151" s="10"/>
      <c r="F151" s="10"/>
      <c r="G151" s="10"/>
    </row>
    <row r="152" spans="1:7" ht="18.75" x14ac:dyDescent="0.3">
      <c r="A152" s="2" t="s">
        <v>129</v>
      </c>
      <c r="B152" s="12">
        <v>64</v>
      </c>
      <c r="C152" s="3">
        <v>1735</v>
      </c>
      <c r="D152" s="50">
        <f t="shared" si="4"/>
        <v>111040</v>
      </c>
      <c r="E152" s="10"/>
      <c r="F152" s="10"/>
      <c r="G152" s="10"/>
    </row>
    <row r="153" spans="1:7" ht="18.75" x14ac:dyDescent="0.3">
      <c r="A153" s="2" t="s">
        <v>176</v>
      </c>
      <c r="B153" s="12">
        <v>55</v>
      </c>
      <c r="C153" s="5">
        <v>1735</v>
      </c>
      <c r="D153" s="50">
        <f t="shared" si="4"/>
        <v>95425</v>
      </c>
      <c r="E153" s="10"/>
      <c r="F153" s="10"/>
      <c r="G153" s="10"/>
    </row>
    <row r="154" spans="1:7" ht="18.75" x14ac:dyDescent="0.3">
      <c r="A154" s="2" t="s">
        <v>130</v>
      </c>
      <c r="B154" s="12">
        <v>60</v>
      </c>
      <c r="C154" s="3">
        <v>1735</v>
      </c>
      <c r="D154" s="50">
        <f t="shared" si="4"/>
        <v>104100</v>
      </c>
      <c r="E154" s="10"/>
      <c r="F154" s="10"/>
      <c r="G154" s="14">
        <f>E149-D165-D166-D167-D168-D169-D170-D171-D172-D173-D174-D175-D176-D177-D178-D179-D180</f>
        <v>0</v>
      </c>
    </row>
    <row r="155" spans="1:7" ht="18.75" x14ac:dyDescent="0.3">
      <c r="A155" s="2" t="s">
        <v>177</v>
      </c>
      <c r="B155" s="12">
        <v>43</v>
      </c>
      <c r="C155" s="3">
        <v>1735</v>
      </c>
      <c r="D155" s="50">
        <f t="shared" si="4"/>
        <v>74605</v>
      </c>
      <c r="E155" s="10"/>
      <c r="F155" s="10"/>
      <c r="G155" s="10"/>
    </row>
    <row r="156" spans="1:7" ht="18.75" x14ac:dyDescent="0.3">
      <c r="A156" s="2" t="s">
        <v>178</v>
      </c>
      <c r="B156" s="12">
        <v>64</v>
      </c>
      <c r="C156" s="3">
        <v>1735</v>
      </c>
      <c r="D156" s="50">
        <f t="shared" si="4"/>
        <v>111040</v>
      </c>
      <c r="E156" s="10"/>
      <c r="F156" s="10"/>
      <c r="G156" s="10"/>
    </row>
    <row r="157" spans="1:7" ht="18.75" x14ac:dyDescent="0.3">
      <c r="A157" s="2" t="s">
        <v>67</v>
      </c>
      <c r="B157" s="15">
        <v>106</v>
      </c>
      <c r="C157" s="3">
        <v>1735</v>
      </c>
      <c r="D157" s="50">
        <f t="shared" si="4"/>
        <v>183910</v>
      </c>
      <c r="E157" s="10"/>
      <c r="F157" s="10"/>
      <c r="G157" s="10"/>
    </row>
    <row r="158" spans="1:7" ht="18.75" x14ac:dyDescent="0.3">
      <c r="A158" s="2"/>
      <c r="B158" s="12"/>
      <c r="C158" s="3"/>
      <c r="D158" s="50">
        <f t="shared" si="4"/>
        <v>0</v>
      </c>
      <c r="E158" s="10"/>
      <c r="F158" s="10"/>
      <c r="G158" s="10"/>
    </row>
    <row r="159" spans="1:7" ht="18.75" x14ac:dyDescent="0.3">
      <c r="A159" s="2"/>
      <c r="B159" s="15"/>
      <c r="C159" s="3"/>
      <c r="D159" s="50">
        <f t="shared" si="4"/>
        <v>0</v>
      </c>
      <c r="E159" s="10"/>
      <c r="F159" s="16"/>
      <c r="G159" s="16"/>
    </row>
    <row r="160" spans="1:7" ht="18.75" x14ac:dyDescent="0.3">
      <c r="A160" s="2"/>
      <c r="B160" s="15"/>
      <c r="C160" s="3"/>
      <c r="D160" s="13"/>
      <c r="E160" s="10"/>
      <c r="F160" s="17"/>
      <c r="G160" s="17"/>
    </row>
    <row r="161" spans="1:7" ht="18.75" x14ac:dyDescent="0.3">
      <c r="A161" s="2"/>
      <c r="B161" s="12"/>
      <c r="C161" s="3"/>
      <c r="D161" s="13"/>
      <c r="E161" s="10"/>
      <c r="F161" s="10"/>
      <c r="G161" s="10"/>
    </row>
    <row r="162" spans="1:7" ht="18.75" x14ac:dyDescent="0.3">
      <c r="A162" s="2"/>
      <c r="B162" s="12"/>
      <c r="C162" s="3"/>
      <c r="D162" s="13"/>
      <c r="E162" s="10"/>
      <c r="F162" s="10"/>
      <c r="G162" s="10"/>
    </row>
    <row r="163" spans="1:7" ht="18.75" x14ac:dyDescent="0.3">
      <c r="A163" s="18"/>
      <c r="B163" s="19"/>
      <c r="C163" s="20"/>
      <c r="D163" s="13"/>
      <c r="E163" s="10"/>
      <c r="F163" s="10"/>
      <c r="G163" s="10"/>
    </row>
    <row r="164" spans="1:7" ht="18.75" x14ac:dyDescent="0.3">
      <c r="A164" s="1" t="s">
        <v>10</v>
      </c>
      <c r="B164" s="1" t="s">
        <v>11</v>
      </c>
      <c r="C164" s="1" t="s">
        <v>12</v>
      </c>
      <c r="D164" s="1" t="s">
        <v>13</v>
      </c>
      <c r="E164" s="1" t="s">
        <v>14</v>
      </c>
      <c r="F164" s="10"/>
      <c r="G164" s="10"/>
    </row>
    <row r="165" spans="1:7" ht="18.75" x14ac:dyDescent="0.3">
      <c r="A165" s="3" t="s">
        <v>42</v>
      </c>
      <c r="B165" s="4" t="s">
        <v>182</v>
      </c>
      <c r="C165" s="3">
        <v>1735</v>
      </c>
      <c r="D165" s="49">
        <v>138800</v>
      </c>
      <c r="E165" s="3"/>
      <c r="F165" s="10"/>
      <c r="G165" s="10"/>
    </row>
    <row r="166" spans="1:7" ht="18.75" x14ac:dyDescent="0.3">
      <c r="A166" s="3" t="s">
        <v>113</v>
      </c>
      <c r="B166" s="4" t="s">
        <v>183</v>
      </c>
      <c r="C166" s="3">
        <v>1735</v>
      </c>
      <c r="D166" s="49">
        <v>95425</v>
      </c>
      <c r="E166" s="5"/>
      <c r="F166" s="10"/>
      <c r="G166" s="10"/>
    </row>
    <row r="167" spans="1:7" ht="18.75" x14ac:dyDescent="0.3">
      <c r="A167" s="3" t="s">
        <v>167</v>
      </c>
      <c r="B167" s="4" t="s">
        <v>184</v>
      </c>
      <c r="C167" s="3">
        <v>1735</v>
      </c>
      <c r="D167" s="49">
        <v>117980</v>
      </c>
      <c r="E167" s="5"/>
      <c r="F167" s="10"/>
      <c r="G167" s="10"/>
    </row>
    <row r="168" spans="1:7" ht="18.75" x14ac:dyDescent="0.3">
      <c r="A168" s="3" t="s">
        <v>185</v>
      </c>
      <c r="B168" s="4" t="s">
        <v>67</v>
      </c>
      <c r="C168" s="5">
        <v>1735</v>
      </c>
      <c r="D168" s="49">
        <v>183910</v>
      </c>
      <c r="E168" s="3"/>
      <c r="F168" s="10"/>
      <c r="G168" s="10"/>
    </row>
    <row r="169" spans="1:7" ht="18.75" x14ac:dyDescent="0.3">
      <c r="A169" s="6" t="s">
        <v>15</v>
      </c>
      <c r="B169" s="4" t="s">
        <v>192</v>
      </c>
      <c r="C169" s="3">
        <v>1735</v>
      </c>
      <c r="D169" s="49">
        <v>111040</v>
      </c>
      <c r="E169" s="5"/>
      <c r="F169" s="10"/>
      <c r="G169" s="10"/>
    </row>
    <row r="170" spans="1:7" ht="18.75" x14ac:dyDescent="0.3">
      <c r="A170" s="3" t="s">
        <v>42</v>
      </c>
      <c r="B170" s="4" t="s">
        <v>193</v>
      </c>
      <c r="C170" s="3">
        <v>1735</v>
      </c>
      <c r="D170" s="49">
        <v>104100</v>
      </c>
      <c r="E170" s="5"/>
      <c r="F170" s="10"/>
      <c r="G170" s="10"/>
    </row>
    <row r="171" spans="1:7" ht="18.75" x14ac:dyDescent="0.3">
      <c r="A171" s="3" t="s">
        <v>201</v>
      </c>
      <c r="B171" s="4" t="s">
        <v>206</v>
      </c>
      <c r="C171" s="3">
        <v>1735</v>
      </c>
      <c r="D171" s="49">
        <v>74605</v>
      </c>
      <c r="E171" s="5"/>
      <c r="F171" s="10"/>
      <c r="G171" s="10"/>
    </row>
    <row r="172" spans="1:7" ht="18.75" x14ac:dyDescent="0.3">
      <c r="A172" s="3" t="s">
        <v>29</v>
      </c>
      <c r="B172" s="4" t="s">
        <v>215</v>
      </c>
      <c r="C172" s="3">
        <v>1037</v>
      </c>
      <c r="D172" s="49">
        <v>66368</v>
      </c>
      <c r="E172" s="3"/>
      <c r="F172" s="10"/>
      <c r="G172" s="10"/>
    </row>
    <row r="173" spans="1:7" ht="18.75" x14ac:dyDescent="0.3">
      <c r="A173" s="3" t="s">
        <v>205</v>
      </c>
      <c r="B173" s="4" t="s">
        <v>216</v>
      </c>
      <c r="C173" s="3">
        <v>578</v>
      </c>
      <c r="D173" s="49">
        <v>36992</v>
      </c>
      <c r="E173" s="3"/>
      <c r="F173" s="10"/>
      <c r="G173" s="10"/>
    </row>
    <row r="174" spans="1:7" ht="18.75" x14ac:dyDescent="0.3">
      <c r="A174" s="3" t="s">
        <v>59</v>
      </c>
      <c r="B174" s="4" t="s">
        <v>227</v>
      </c>
      <c r="C174" s="3">
        <v>120</v>
      </c>
      <c r="D174" s="49">
        <v>7680</v>
      </c>
      <c r="E174" s="3"/>
      <c r="F174" s="10"/>
      <c r="G174" s="10"/>
    </row>
    <row r="175" spans="1:7" ht="18.75" x14ac:dyDescent="0.3">
      <c r="A175" s="3"/>
      <c r="B175" s="4"/>
      <c r="C175" s="3"/>
      <c r="D175" s="49"/>
      <c r="E175" s="3"/>
      <c r="F175" s="10"/>
      <c r="G175" s="10"/>
    </row>
    <row r="176" spans="1:7" ht="18.75" x14ac:dyDescent="0.3">
      <c r="A176" s="3"/>
      <c r="B176" s="4"/>
      <c r="C176" s="3"/>
      <c r="D176" s="49"/>
      <c r="E176" s="3"/>
      <c r="F176" s="10"/>
      <c r="G176" s="10"/>
    </row>
    <row r="177" spans="1:7" ht="18.75" x14ac:dyDescent="0.3">
      <c r="A177" s="3"/>
      <c r="B177" s="4"/>
      <c r="C177" s="3"/>
      <c r="D177" s="5"/>
      <c r="E177" s="3"/>
      <c r="F177" s="10"/>
      <c r="G177" s="10"/>
    </row>
    <row r="178" spans="1:7" ht="18.75" x14ac:dyDescent="0.3">
      <c r="A178" s="3"/>
      <c r="B178" s="4"/>
      <c r="C178" s="3"/>
      <c r="D178" s="5"/>
      <c r="E178" s="3"/>
      <c r="F178" s="10"/>
      <c r="G178" s="10"/>
    </row>
    <row r="179" spans="1:7" ht="18.75" x14ac:dyDescent="0.3">
      <c r="A179" s="3"/>
      <c r="B179" s="4"/>
      <c r="C179" s="3"/>
      <c r="D179" s="5"/>
      <c r="E179" s="3"/>
      <c r="F179" s="10"/>
      <c r="G179" s="10"/>
    </row>
    <row r="180" spans="1:7" ht="18.75" x14ac:dyDescent="0.3">
      <c r="A180" s="3"/>
      <c r="B180" s="4"/>
      <c r="C180" s="5"/>
      <c r="D180" s="5"/>
      <c r="E180" s="3"/>
      <c r="F180" s="10"/>
      <c r="G180" s="10"/>
    </row>
    <row r="181" spans="1:7" ht="18.75" x14ac:dyDescent="0.3">
      <c r="A181" s="10"/>
      <c r="B181" s="17"/>
      <c r="C181" s="47"/>
      <c r="D181" s="47"/>
      <c r="E181" s="10"/>
      <c r="F181" s="10"/>
      <c r="G181" s="10"/>
    </row>
    <row r="182" spans="1:7" ht="18.75" x14ac:dyDescent="0.3">
      <c r="A182" s="10"/>
      <c r="B182" s="17"/>
      <c r="C182" s="47"/>
      <c r="D182" s="47"/>
      <c r="E182" s="10"/>
      <c r="F182" s="10"/>
      <c r="G182" s="10"/>
    </row>
    <row r="184" spans="1:7" ht="18.75" x14ac:dyDescent="0.3">
      <c r="A184" s="35" t="s">
        <v>0</v>
      </c>
      <c r="B184" s="35" t="s">
        <v>1</v>
      </c>
      <c r="C184" s="35" t="s">
        <v>2</v>
      </c>
      <c r="D184" s="35" t="s">
        <v>3</v>
      </c>
      <c r="E184" s="35" t="s">
        <v>4</v>
      </c>
      <c r="F184" s="35" t="s">
        <v>5</v>
      </c>
      <c r="G184" s="35" t="s">
        <v>6</v>
      </c>
    </row>
    <row r="185" spans="1:7" ht="18.75" x14ac:dyDescent="0.3">
      <c r="A185" s="22">
        <v>1709</v>
      </c>
      <c r="B185" s="22" t="s">
        <v>19</v>
      </c>
      <c r="C185" s="23" t="s">
        <v>170</v>
      </c>
      <c r="D185" s="24">
        <v>1735</v>
      </c>
      <c r="E185" s="22">
        <v>900</v>
      </c>
      <c r="F185" s="25" t="s">
        <v>181</v>
      </c>
      <c r="G185" s="26">
        <f>D185*E185</f>
        <v>1561500</v>
      </c>
    </row>
    <row r="186" spans="1:7" ht="18.75" x14ac:dyDescent="0.3">
      <c r="A186" s="1" t="s">
        <v>7</v>
      </c>
      <c r="B186" s="7">
        <v>5.4</v>
      </c>
      <c r="C186" s="48" t="s">
        <v>3</v>
      </c>
      <c r="D186" s="48" t="s">
        <v>8</v>
      </c>
      <c r="E186" s="46">
        <v>936900</v>
      </c>
      <c r="F186" s="10"/>
      <c r="G186" s="11">
        <v>624600</v>
      </c>
    </row>
    <row r="187" spans="1:7" ht="18.75" x14ac:dyDescent="0.3">
      <c r="A187" s="2" t="s">
        <v>128</v>
      </c>
      <c r="B187" s="12">
        <v>80</v>
      </c>
      <c r="C187" s="5">
        <v>1735</v>
      </c>
      <c r="D187" s="50">
        <f>B187*C187</f>
        <v>138800</v>
      </c>
      <c r="E187" s="21">
        <v>0.6</v>
      </c>
      <c r="F187" s="10"/>
      <c r="G187" s="21">
        <v>0.4</v>
      </c>
    </row>
    <row r="188" spans="1:7" ht="18.75" x14ac:dyDescent="0.3">
      <c r="A188" s="2" t="s">
        <v>61</v>
      </c>
      <c r="B188" s="12">
        <v>68</v>
      </c>
      <c r="C188" s="3">
        <v>1735</v>
      </c>
      <c r="D188" s="50">
        <f t="shared" ref="D188:D195" si="5">B188*C188</f>
        <v>117980</v>
      </c>
      <c r="E188" s="10"/>
      <c r="F188" s="10"/>
      <c r="G188" s="10"/>
    </row>
    <row r="189" spans="1:7" ht="18.75" x14ac:dyDescent="0.3">
      <c r="A189" s="2" t="s">
        <v>129</v>
      </c>
      <c r="B189" s="12">
        <v>64</v>
      </c>
      <c r="C189" s="3">
        <v>1735</v>
      </c>
      <c r="D189" s="50">
        <f t="shared" si="5"/>
        <v>111040</v>
      </c>
      <c r="E189" s="10"/>
      <c r="F189" s="10"/>
      <c r="G189" s="10"/>
    </row>
    <row r="190" spans="1:7" ht="18.75" x14ac:dyDescent="0.3">
      <c r="A190" s="2" t="s">
        <v>176</v>
      </c>
      <c r="B190" s="12">
        <v>55</v>
      </c>
      <c r="C190" s="5">
        <v>1735</v>
      </c>
      <c r="D190" s="50">
        <f t="shared" si="5"/>
        <v>95425</v>
      </c>
      <c r="E190" s="10"/>
      <c r="F190" s="10"/>
      <c r="G190" s="10"/>
    </row>
    <row r="191" spans="1:7" ht="18.75" x14ac:dyDescent="0.3">
      <c r="A191" s="2" t="s">
        <v>130</v>
      </c>
      <c r="B191" s="12">
        <v>60</v>
      </c>
      <c r="C191" s="3">
        <v>1735</v>
      </c>
      <c r="D191" s="50">
        <f t="shared" si="5"/>
        <v>104100</v>
      </c>
      <c r="E191" s="10"/>
      <c r="F191" s="10"/>
      <c r="G191" s="14">
        <f>E186-D201-D202-D203-D204-D205-D206-D207-D208-D209-D210-D211-D212-D213-D214-D215-D216</f>
        <v>0</v>
      </c>
    </row>
    <row r="192" spans="1:7" ht="18.75" x14ac:dyDescent="0.3">
      <c r="A192" s="2" t="s">
        <v>177</v>
      </c>
      <c r="B192" s="12">
        <v>43</v>
      </c>
      <c r="C192" s="3">
        <v>1735</v>
      </c>
      <c r="D192" s="50">
        <f t="shared" si="5"/>
        <v>74605</v>
      </c>
      <c r="E192" s="10"/>
      <c r="F192" s="10"/>
      <c r="G192" s="10"/>
    </row>
    <row r="193" spans="1:7" ht="18.75" x14ac:dyDescent="0.3">
      <c r="A193" s="2" t="s">
        <v>178</v>
      </c>
      <c r="B193" s="12">
        <v>64</v>
      </c>
      <c r="C193" s="3">
        <v>1735</v>
      </c>
      <c r="D193" s="50">
        <f t="shared" si="5"/>
        <v>111040</v>
      </c>
      <c r="E193" s="10"/>
      <c r="F193" s="10"/>
      <c r="G193" s="10"/>
    </row>
    <row r="194" spans="1:7" ht="18.75" x14ac:dyDescent="0.3">
      <c r="A194" s="2" t="s">
        <v>67</v>
      </c>
      <c r="B194" s="15">
        <v>106</v>
      </c>
      <c r="C194" s="3">
        <v>1735</v>
      </c>
      <c r="D194" s="50">
        <f t="shared" si="5"/>
        <v>183910</v>
      </c>
      <c r="E194" s="10"/>
      <c r="F194" s="10"/>
      <c r="G194" s="10"/>
    </row>
    <row r="195" spans="1:7" ht="18.75" x14ac:dyDescent="0.3">
      <c r="A195" s="2"/>
      <c r="B195" s="15"/>
      <c r="C195" s="3"/>
      <c r="D195" s="50">
        <f t="shared" si="5"/>
        <v>0</v>
      </c>
      <c r="E195" s="10"/>
      <c r="F195" s="16"/>
      <c r="G195" s="16"/>
    </row>
    <row r="196" spans="1:7" ht="18.75" x14ac:dyDescent="0.3">
      <c r="A196" s="2"/>
      <c r="B196" s="15"/>
      <c r="C196" s="3"/>
      <c r="D196" s="50"/>
      <c r="E196" s="10"/>
      <c r="F196" s="17"/>
      <c r="G196" s="17"/>
    </row>
    <row r="197" spans="1:7" ht="18.75" x14ac:dyDescent="0.3">
      <c r="A197" s="2"/>
      <c r="B197" s="12"/>
      <c r="C197" s="3"/>
      <c r="D197" s="50"/>
      <c r="E197" s="10"/>
      <c r="F197" s="10"/>
      <c r="G197" s="10"/>
    </row>
    <row r="198" spans="1:7" ht="18.75" x14ac:dyDescent="0.3">
      <c r="A198" s="2"/>
      <c r="B198" s="12"/>
      <c r="C198" s="3"/>
      <c r="D198" s="50"/>
      <c r="E198" s="10"/>
      <c r="F198" s="10"/>
      <c r="G198" s="10"/>
    </row>
    <row r="199" spans="1:7" ht="18.75" x14ac:dyDescent="0.3">
      <c r="A199" s="18"/>
      <c r="B199" s="19"/>
      <c r="C199" s="20"/>
      <c r="D199" s="13"/>
      <c r="E199" s="10"/>
      <c r="F199" s="10"/>
      <c r="G199" s="10"/>
    </row>
    <row r="200" spans="1:7" ht="18.75" x14ac:dyDescent="0.3">
      <c r="A200" s="1" t="s">
        <v>10</v>
      </c>
      <c r="B200" s="1" t="s">
        <v>11</v>
      </c>
      <c r="C200" s="1" t="s">
        <v>12</v>
      </c>
      <c r="D200" s="1" t="s">
        <v>13</v>
      </c>
      <c r="E200" s="1" t="s">
        <v>14</v>
      </c>
      <c r="F200" s="10"/>
      <c r="G200" s="10"/>
    </row>
    <row r="201" spans="1:7" ht="18.75" x14ac:dyDescent="0.3">
      <c r="A201" s="3" t="s">
        <v>42</v>
      </c>
      <c r="B201" s="4" t="s">
        <v>186</v>
      </c>
      <c r="C201" s="3">
        <v>1735</v>
      </c>
      <c r="D201" s="49">
        <v>138800</v>
      </c>
      <c r="E201" s="3"/>
      <c r="F201" s="10"/>
      <c r="G201" s="10"/>
    </row>
    <row r="202" spans="1:7" ht="18.75" x14ac:dyDescent="0.3">
      <c r="A202" s="3" t="s">
        <v>113</v>
      </c>
      <c r="B202" s="4" t="s">
        <v>187</v>
      </c>
      <c r="C202" s="3">
        <v>1735</v>
      </c>
      <c r="D202" s="49">
        <v>95425</v>
      </c>
      <c r="E202" s="5"/>
      <c r="F202" s="10"/>
      <c r="G202" s="10"/>
    </row>
    <row r="203" spans="1:7" ht="18.75" x14ac:dyDescent="0.3">
      <c r="A203" s="3" t="s">
        <v>17</v>
      </c>
      <c r="B203" s="4" t="s">
        <v>190</v>
      </c>
      <c r="C203" s="3">
        <v>1735</v>
      </c>
      <c r="D203" s="49">
        <v>117980</v>
      </c>
      <c r="E203" s="5"/>
      <c r="F203" s="10"/>
      <c r="G203" s="10"/>
    </row>
    <row r="204" spans="1:7" ht="18.75" x14ac:dyDescent="0.3">
      <c r="A204" s="3" t="s">
        <v>191</v>
      </c>
      <c r="B204" s="4" t="s">
        <v>199</v>
      </c>
      <c r="C204" s="5">
        <v>1735</v>
      </c>
      <c r="D204" s="49">
        <v>183910</v>
      </c>
      <c r="E204" s="3"/>
      <c r="F204" s="10"/>
      <c r="G204" s="10"/>
    </row>
    <row r="205" spans="1:7" ht="18.75" x14ac:dyDescent="0.3">
      <c r="A205" s="6" t="s">
        <v>42</v>
      </c>
      <c r="B205" s="4" t="s">
        <v>198</v>
      </c>
      <c r="C205" s="3">
        <v>1735</v>
      </c>
      <c r="D205" s="49">
        <v>104100</v>
      </c>
      <c r="E205" s="5"/>
      <c r="F205" s="10"/>
      <c r="G205" s="10"/>
    </row>
    <row r="206" spans="1:7" ht="18.75" x14ac:dyDescent="0.3">
      <c r="A206" s="3" t="s">
        <v>16</v>
      </c>
      <c r="B206" s="4" t="s">
        <v>197</v>
      </c>
      <c r="C206" s="3">
        <v>1735</v>
      </c>
      <c r="D206" s="49">
        <v>74605</v>
      </c>
      <c r="E206" s="5"/>
      <c r="F206" s="10"/>
      <c r="G206" s="10"/>
    </row>
    <row r="207" spans="1:7" ht="18.75" x14ac:dyDescent="0.3">
      <c r="A207" s="3" t="s">
        <v>15</v>
      </c>
      <c r="B207" s="4" t="s">
        <v>214</v>
      </c>
      <c r="C207" s="3">
        <v>1735</v>
      </c>
      <c r="D207" s="49">
        <v>111040</v>
      </c>
      <c r="E207" s="5"/>
      <c r="F207" s="10"/>
      <c r="G207" s="10"/>
    </row>
    <row r="208" spans="1:7" ht="18.75" x14ac:dyDescent="0.3">
      <c r="A208" s="3" t="s">
        <v>42</v>
      </c>
      <c r="B208" s="4" t="s">
        <v>217</v>
      </c>
      <c r="C208" s="3">
        <v>1735</v>
      </c>
      <c r="D208" s="49">
        <v>111040</v>
      </c>
      <c r="E208" s="3"/>
      <c r="F208" s="10"/>
      <c r="G208" s="10"/>
    </row>
    <row r="209" spans="1:7" ht="18.75" x14ac:dyDescent="0.3">
      <c r="A209" s="3"/>
      <c r="B209" s="4"/>
      <c r="C209" s="3"/>
      <c r="D209" s="49"/>
      <c r="E209" s="3"/>
      <c r="F209" s="10"/>
      <c r="G209" s="10"/>
    </row>
    <row r="210" spans="1:7" ht="18.75" x14ac:dyDescent="0.3">
      <c r="A210" s="3"/>
      <c r="B210" s="4"/>
      <c r="C210" s="3"/>
      <c r="D210" s="49"/>
      <c r="E210" s="3"/>
      <c r="F210" s="10"/>
      <c r="G210" s="10"/>
    </row>
    <row r="211" spans="1:7" ht="18.75" x14ac:dyDescent="0.3">
      <c r="A211" s="3"/>
      <c r="B211" s="4"/>
      <c r="C211" s="3"/>
      <c r="D211" s="5"/>
      <c r="E211" s="3"/>
      <c r="F211" s="10"/>
      <c r="G211" s="10"/>
    </row>
    <row r="212" spans="1:7" ht="18.75" x14ac:dyDescent="0.3">
      <c r="A212" s="3"/>
      <c r="B212" s="4"/>
      <c r="C212" s="3"/>
      <c r="D212" s="5"/>
      <c r="E212" s="3"/>
      <c r="F212" s="10"/>
      <c r="G212" s="10"/>
    </row>
    <row r="213" spans="1:7" ht="18.75" x14ac:dyDescent="0.3">
      <c r="A213" s="3"/>
      <c r="B213" s="4"/>
      <c r="C213" s="3"/>
      <c r="D213" s="5"/>
      <c r="E213" s="3"/>
      <c r="F213" s="10"/>
      <c r="G213" s="10"/>
    </row>
    <row r="214" spans="1:7" ht="18.75" x14ac:dyDescent="0.3">
      <c r="A214" s="3"/>
      <c r="B214" s="4"/>
      <c r="C214" s="3"/>
      <c r="D214" s="5"/>
      <c r="E214" s="3"/>
      <c r="F214" s="10"/>
      <c r="G214" s="10"/>
    </row>
    <row r="215" spans="1:7" ht="18.75" x14ac:dyDescent="0.3">
      <c r="A215" s="3"/>
      <c r="B215" s="4"/>
      <c r="C215" s="3"/>
      <c r="D215" s="5"/>
      <c r="E215" s="3"/>
      <c r="F215" s="10"/>
      <c r="G215" s="10"/>
    </row>
    <row r="216" spans="1:7" ht="18.75" x14ac:dyDescent="0.3">
      <c r="A216" s="3"/>
      <c r="B216" s="4"/>
      <c r="C216" s="5"/>
      <c r="D216" s="5"/>
      <c r="E216" s="3"/>
      <c r="F216" s="10"/>
      <c r="G216" s="10"/>
    </row>
    <row r="219" spans="1:7" ht="18.75" x14ac:dyDescent="0.3">
      <c r="A219" s="35" t="s">
        <v>0</v>
      </c>
      <c r="B219" s="35" t="s">
        <v>1</v>
      </c>
      <c r="C219" s="35" t="s">
        <v>2</v>
      </c>
      <c r="D219" s="35" t="s">
        <v>3</v>
      </c>
      <c r="E219" s="35" t="s">
        <v>4</v>
      </c>
      <c r="F219" s="35" t="s">
        <v>5</v>
      </c>
      <c r="G219" s="35" t="s">
        <v>6</v>
      </c>
    </row>
    <row r="220" spans="1:7" ht="18.75" x14ac:dyDescent="0.3">
      <c r="A220" s="22">
        <v>1724</v>
      </c>
      <c r="B220" s="22" t="s">
        <v>19</v>
      </c>
      <c r="C220" s="23" t="s">
        <v>218</v>
      </c>
      <c r="D220" s="24">
        <v>3328</v>
      </c>
      <c r="E220" s="22">
        <v>900</v>
      </c>
      <c r="F220" s="25" t="s">
        <v>219</v>
      </c>
      <c r="G220" s="26">
        <f>D220*E220</f>
        <v>2995200</v>
      </c>
    </row>
    <row r="221" spans="1:7" ht="18.75" x14ac:dyDescent="0.3">
      <c r="A221" s="1" t="s">
        <v>7</v>
      </c>
      <c r="B221" s="7">
        <v>5.4</v>
      </c>
      <c r="C221" s="48" t="s">
        <v>3</v>
      </c>
      <c r="D221" s="48" t="s">
        <v>8</v>
      </c>
      <c r="E221" s="46">
        <v>1797120</v>
      </c>
      <c r="F221" s="10"/>
      <c r="G221" s="11">
        <v>1198080</v>
      </c>
    </row>
    <row r="222" spans="1:7" ht="18.75" x14ac:dyDescent="0.3">
      <c r="A222" s="2" t="s">
        <v>174</v>
      </c>
      <c r="B222" s="12">
        <v>58</v>
      </c>
      <c r="C222" s="5">
        <v>832</v>
      </c>
      <c r="D222" s="50">
        <f>B222*C222</f>
        <v>48256</v>
      </c>
      <c r="E222" s="21">
        <v>0.6</v>
      </c>
      <c r="F222" s="10"/>
      <c r="G222" s="21">
        <v>0.4</v>
      </c>
    </row>
    <row r="223" spans="1:7" ht="15.75" customHeight="1" x14ac:dyDescent="0.3">
      <c r="A223" s="2" t="s">
        <v>220</v>
      </c>
      <c r="B223" s="12">
        <v>86</v>
      </c>
      <c r="C223" s="3">
        <v>832</v>
      </c>
      <c r="D223" s="50">
        <f t="shared" ref="D223:D230" si="6">B223*C223</f>
        <v>71552</v>
      </c>
      <c r="E223" s="10"/>
      <c r="F223" s="10"/>
      <c r="G223" s="10"/>
    </row>
    <row r="224" spans="1:7" ht="18.75" x14ac:dyDescent="0.3">
      <c r="A224" s="2" t="s">
        <v>209</v>
      </c>
      <c r="B224" s="12">
        <v>89</v>
      </c>
      <c r="C224" s="3">
        <v>832</v>
      </c>
      <c r="D224" s="50">
        <f t="shared" si="6"/>
        <v>74048</v>
      </c>
      <c r="E224" s="10"/>
      <c r="F224" s="10"/>
      <c r="G224" s="10"/>
    </row>
    <row r="225" spans="1:7" ht="18.75" x14ac:dyDescent="0.3">
      <c r="A225" s="2" t="s">
        <v>70</v>
      </c>
      <c r="B225" s="12">
        <v>64</v>
      </c>
      <c r="C225" s="5">
        <v>3328</v>
      </c>
      <c r="D225" s="50">
        <f t="shared" si="6"/>
        <v>212992</v>
      </c>
      <c r="E225" s="10"/>
      <c r="F225" s="10"/>
      <c r="G225" s="10"/>
    </row>
    <row r="226" spans="1:7" ht="18.75" x14ac:dyDescent="0.3">
      <c r="A226" s="2" t="s">
        <v>391</v>
      </c>
      <c r="B226" s="12">
        <v>60</v>
      </c>
      <c r="C226" s="3">
        <v>1664</v>
      </c>
      <c r="D226" s="50">
        <f t="shared" si="6"/>
        <v>99840</v>
      </c>
      <c r="E226" s="10"/>
      <c r="F226" s="10"/>
      <c r="G226" s="14">
        <f>E221-D236-D237-D238-D239-D240-D241-D242-D243-D244-D245-D246-D247-D248-D249-D250-D251-D252-D253-D254-D255-D256-D257-D258</f>
        <v>0</v>
      </c>
    </row>
    <row r="227" spans="1:7" ht="18.75" x14ac:dyDescent="0.3">
      <c r="A227" s="2" t="s">
        <v>156</v>
      </c>
      <c r="B227" s="12">
        <v>60</v>
      </c>
      <c r="C227" s="3">
        <v>832</v>
      </c>
      <c r="D227" s="50">
        <f t="shared" si="6"/>
        <v>49920</v>
      </c>
      <c r="E227" s="10"/>
      <c r="F227" s="10"/>
      <c r="G227" s="10"/>
    </row>
    <row r="228" spans="1:7" ht="18.75" x14ac:dyDescent="0.3">
      <c r="A228" s="2" t="s">
        <v>101</v>
      </c>
      <c r="B228" s="12">
        <v>43</v>
      </c>
      <c r="C228" s="3">
        <v>3328</v>
      </c>
      <c r="D228" s="50">
        <f t="shared" si="6"/>
        <v>143104</v>
      </c>
      <c r="E228" s="10"/>
      <c r="F228" s="10"/>
      <c r="G228" s="10"/>
    </row>
    <row r="229" spans="1:7" ht="18.75" x14ac:dyDescent="0.3">
      <c r="A229" s="2" t="s">
        <v>41</v>
      </c>
      <c r="B229" s="15">
        <v>80</v>
      </c>
      <c r="C229" s="3">
        <v>3328</v>
      </c>
      <c r="D229" s="50">
        <f t="shared" si="6"/>
        <v>266240</v>
      </c>
      <c r="E229" s="10"/>
      <c r="F229" s="10"/>
      <c r="G229" s="10"/>
    </row>
    <row r="230" spans="1:7" ht="18.75" x14ac:dyDescent="0.3">
      <c r="A230" s="2"/>
      <c r="B230" s="15"/>
      <c r="C230" s="3"/>
      <c r="D230" s="50">
        <f t="shared" si="6"/>
        <v>0</v>
      </c>
      <c r="E230" s="10"/>
      <c r="F230" s="16"/>
      <c r="G230" s="16"/>
    </row>
    <row r="231" spans="1:7" ht="18.75" x14ac:dyDescent="0.3">
      <c r="A231" s="2"/>
      <c r="B231" s="15"/>
      <c r="C231" s="3"/>
      <c r="D231" s="50"/>
      <c r="E231" s="10"/>
      <c r="F231" s="17"/>
      <c r="G231" s="17"/>
    </row>
    <row r="232" spans="1:7" ht="18.75" x14ac:dyDescent="0.3">
      <c r="A232" s="2"/>
      <c r="B232" s="12"/>
      <c r="C232" s="3"/>
      <c r="D232" s="50"/>
      <c r="E232" s="10"/>
      <c r="F232" s="10"/>
      <c r="G232" s="10"/>
    </row>
    <row r="233" spans="1:7" ht="18.75" x14ac:dyDescent="0.3">
      <c r="A233" s="2"/>
      <c r="B233" s="12"/>
      <c r="C233" s="3"/>
      <c r="D233" s="50"/>
      <c r="E233" s="10"/>
      <c r="F233" s="10"/>
      <c r="G233" s="10"/>
    </row>
    <row r="234" spans="1:7" ht="18.75" x14ac:dyDescent="0.3">
      <c r="A234" s="18"/>
      <c r="B234" s="19"/>
      <c r="C234" s="20"/>
      <c r="D234" s="13"/>
      <c r="E234" s="10"/>
      <c r="F234" s="10"/>
      <c r="G234" s="10"/>
    </row>
    <row r="235" spans="1:7" ht="18.75" x14ac:dyDescent="0.3">
      <c r="A235" s="1" t="s">
        <v>10</v>
      </c>
      <c r="B235" s="1" t="s">
        <v>11</v>
      </c>
      <c r="C235" s="1" t="s">
        <v>12</v>
      </c>
      <c r="D235" s="1" t="s">
        <v>13</v>
      </c>
      <c r="E235" s="1" t="s">
        <v>14</v>
      </c>
      <c r="F235" s="10"/>
      <c r="G235" s="10"/>
    </row>
    <row r="236" spans="1:7" ht="18.75" x14ac:dyDescent="0.3">
      <c r="A236" s="3" t="s">
        <v>205</v>
      </c>
      <c r="B236" s="4" t="s">
        <v>224</v>
      </c>
      <c r="C236" s="3">
        <v>832</v>
      </c>
      <c r="D236" s="49">
        <v>48256</v>
      </c>
      <c r="E236" s="3"/>
      <c r="F236" s="10"/>
      <c r="G236" s="10"/>
    </row>
    <row r="237" spans="1:7" ht="18.75" x14ac:dyDescent="0.3">
      <c r="A237" s="3" t="s">
        <v>104</v>
      </c>
      <c r="B237" s="4" t="s">
        <v>223</v>
      </c>
      <c r="C237" s="3">
        <v>832</v>
      </c>
      <c r="D237" s="49">
        <v>48256</v>
      </c>
      <c r="E237" s="5"/>
      <c r="F237" s="10"/>
      <c r="G237" s="10"/>
    </row>
    <row r="238" spans="1:7" ht="18.75" x14ac:dyDescent="0.3">
      <c r="A238" s="3" t="s">
        <v>17</v>
      </c>
      <c r="B238" s="4" t="s">
        <v>222</v>
      </c>
      <c r="C238" s="3">
        <v>3328</v>
      </c>
      <c r="D238" s="49">
        <v>212992</v>
      </c>
      <c r="E238" s="5"/>
      <c r="F238" s="10"/>
      <c r="G238" s="10"/>
    </row>
    <row r="239" spans="1:7" ht="18.75" x14ac:dyDescent="0.3">
      <c r="A239" s="3" t="s">
        <v>29</v>
      </c>
      <c r="B239" s="4" t="s">
        <v>221</v>
      </c>
      <c r="C239" s="5">
        <v>832</v>
      </c>
      <c r="D239" s="49">
        <v>49920</v>
      </c>
      <c r="E239" s="3"/>
      <c r="F239" s="10"/>
      <c r="G239" s="10"/>
    </row>
    <row r="240" spans="1:7" ht="18.75" x14ac:dyDescent="0.3">
      <c r="A240" s="6" t="s">
        <v>16</v>
      </c>
      <c r="B240" s="4" t="s">
        <v>225</v>
      </c>
      <c r="C240" s="3">
        <v>832</v>
      </c>
      <c r="D240" s="49">
        <v>48256</v>
      </c>
      <c r="E240" s="5"/>
      <c r="F240" s="10"/>
      <c r="G240" s="10"/>
    </row>
    <row r="241" spans="1:7" ht="18.75" x14ac:dyDescent="0.3">
      <c r="A241" s="3" t="s">
        <v>59</v>
      </c>
      <c r="B241" s="4" t="s">
        <v>226</v>
      </c>
      <c r="C241" s="3">
        <v>832</v>
      </c>
      <c r="D241" s="49">
        <v>48256</v>
      </c>
      <c r="E241" s="5"/>
      <c r="F241" s="10"/>
      <c r="G241" s="10"/>
    </row>
    <row r="242" spans="1:7" ht="18.75" x14ac:dyDescent="0.3">
      <c r="A242" s="3" t="s">
        <v>205</v>
      </c>
      <c r="B242" s="4" t="s">
        <v>230</v>
      </c>
      <c r="C242" s="3">
        <v>832</v>
      </c>
      <c r="D242" s="49">
        <v>48256</v>
      </c>
      <c r="E242" s="5"/>
      <c r="F242" s="10"/>
      <c r="G242" s="10"/>
    </row>
    <row r="243" spans="1:7" ht="18.75" x14ac:dyDescent="0.3">
      <c r="A243" s="3" t="s">
        <v>201</v>
      </c>
      <c r="B243" s="4" t="s">
        <v>231</v>
      </c>
      <c r="C243" s="3">
        <v>832</v>
      </c>
      <c r="D243" s="49">
        <v>71552</v>
      </c>
      <c r="E243" s="3"/>
      <c r="F243" s="10"/>
      <c r="G243" s="10"/>
    </row>
    <row r="244" spans="1:7" ht="18.75" x14ac:dyDescent="0.3">
      <c r="A244" s="3" t="s">
        <v>16</v>
      </c>
      <c r="B244" s="4" t="s">
        <v>232</v>
      </c>
      <c r="C244" s="3">
        <v>832</v>
      </c>
      <c r="D244" s="49">
        <v>71552</v>
      </c>
      <c r="E244" s="3"/>
      <c r="F244" s="10"/>
      <c r="G244" s="10"/>
    </row>
    <row r="245" spans="1:7" ht="18.75" x14ac:dyDescent="0.3">
      <c r="A245" s="3" t="s">
        <v>16</v>
      </c>
      <c r="B245" s="4" t="s">
        <v>235</v>
      </c>
      <c r="C245" s="3">
        <v>832</v>
      </c>
      <c r="D245" s="49">
        <v>71552</v>
      </c>
      <c r="E245" s="3"/>
      <c r="F245" s="10"/>
      <c r="G245" s="10"/>
    </row>
    <row r="246" spans="1:7" ht="18.75" x14ac:dyDescent="0.3">
      <c r="A246" s="3" t="s">
        <v>201</v>
      </c>
      <c r="B246" s="4" t="s">
        <v>236</v>
      </c>
      <c r="C246" s="3">
        <v>832</v>
      </c>
      <c r="D246" s="5">
        <v>71552</v>
      </c>
      <c r="E246" s="3"/>
      <c r="F246" s="10"/>
      <c r="G246" s="10"/>
    </row>
    <row r="247" spans="1:7" ht="18.75" x14ac:dyDescent="0.3">
      <c r="A247" s="3" t="s">
        <v>42</v>
      </c>
      <c r="B247" s="4" t="s">
        <v>237</v>
      </c>
      <c r="C247" s="3">
        <v>832</v>
      </c>
      <c r="D247" s="5">
        <v>74048</v>
      </c>
      <c r="E247" s="3"/>
      <c r="F247" s="10"/>
      <c r="G247" s="10"/>
    </row>
    <row r="248" spans="1:7" ht="18.75" x14ac:dyDescent="0.3">
      <c r="A248" s="3" t="s">
        <v>205</v>
      </c>
      <c r="B248" s="4" t="s">
        <v>238</v>
      </c>
      <c r="C248" s="3">
        <v>832</v>
      </c>
      <c r="D248" s="5">
        <v>76412</v>
      </c>
      <c r="E248" s="3" t="s">
        <v>249</v>
      </c>
      <c r="F248" s="10"/>
      <c r="G248" s="10"/>
    </row>
    <row r="249" spans="1:7" ht="18.75" x14ac:dyDescent="0.3">
      <c r="A249" s="3" t="s">
        <v>29</v>
      </c>
      <c r="B249" s="4" t="s">
        <v>239</v>
      </c>
      <c r="C249" s="3">
        <v>832</v>
      </c>
      <c r="D249" s="5">
        <v>49920</v>
      </c>
      <c r="E249" s="3"/>
      <c r="F249" s="10"/>
      <c r="G249" s="10"/>
    </row>
    <row r="250" spans="1:7" ht="18.75" x14ac:dyDescent="0.3">
      <c r="A250" s="3" t="s">
        <v>59</v>
      </c>
      <c r="B250" s="4" t="s">
        <v>241</v>
      </c>
      <c r="C250" s="3">
        <v>832</v>
      </c>
      <c r="D250" s="5">
        <v>49220</v>
      </c>
      <c r="E250" s="3"/>
      <c r="F250" s="10"/>
      <c r="G250" s="10"/>
    </row>
    <row r="251" spans="1:7" ht="18.75" x14ac:dyDescent="0.3">
      <c r="A251" s="3" t="s">
        <v>104</v>
      </c>
      <c r="B251" s="4" t="s">
        <v>243</v>
      </c>
      <c r="C251" s="5">
        <v>3328</v>
      </c>
      <c r="D251" s="5">
        <v>143104</v>
      </c>
      <c r="E251" s="3"/>
      <c r="F251" s="10"/>
      <c r="G251" s="10"/>
    </row>
    <row r="252" spans="1:7" ht="18.75" x14ac:dyDescent="0.3">
      <c r="A252" s="3" t="s">
        <v>104</v>
      </c>
      <c r="B252" s="4" t="s">
        <v>246</v>
      </c>
      <c r="C252" s="5">
        <v>414</v>
      </c>
      <c r="D252" s="5">
        <v>24840</v>
      </c>
      <c r="E252" s="3"/>
    </row>
    <row r="253" spans="1:7" ht="18.75" x14ac:dyDescent="0.3">
      <c r="A253" s="3" t="s">
        <v>113</v>
      </c>
      <c r="B253" s="4" t="s">
        <v>247</v>
      </c>
      <c r="C253" s="5">
        <v>418</v>
      </c>
      <c r="D253" s="5">
        <v>25080</v>
      </c>
      <c r="E253" s="3"/>
    </row>
    <row r="254" spans="1:7" ht="18.75" x14ac:dyDescent="0.3">
      <c r="A254" s="3" t="s">
        <v>42</v>
      </c>
      <c r="B254" s="4" t="s">
        <v>248</v>
      </c>
      <c r="C254" s="5">
        <v>1664</v>
      </c>
      <c r="D254" s="5">
        <v>148096</v>
      </c>
      <c r="E254" s="3"/>
    </row>
    <row r="255" spans="1:7" ht="18.75" x14ac:dyDescent="0.3">
      <c r="A255" s="3" t="s">
        <v>113</v>
      </c>
      <c r="B255" s="4" t="s">
        <v>245</v>
      </c>
      <c r="C255" s="5">
        <v>832</v>
      </c>
      <c r="D255" s="5">
        <v>49920</v>
      </c>
      <c r="E255" s="3"/>
    </row>
    <row r="256" spans="1:7" ht="18.75" x14ac:dyDescent="0.3">
      <c r="A256" s="3" t="s">
        <v>185</v>
      </c>
      <c r="B256" s="4" t="s">
        <v>67</v>
      </c>
      <c r="C256" s="5">
        <v>3328</v>
      </c>
      <c r="D256" s="5">
        <v>266240</v>
      </c>
      <c r="E256" s="3"/>
    </row>
    <row r="257" spans="1:7" ht="18.75" x14ac:dyDescent="0.3">
      <c r="A257" s="3" t="s">
        <v>201</v>
      </c>
      <c r="B257" s="4" t="s">
        <v>251</v>
      </c>
      <c r="C257" s="5">
        <v>832</v>
      </c>
      <c r="D257" s="5">
        <v>49920</v>
      </c>
      <c r="E257" s="37"/>
    </row>
    <row r="258" spans="1:7" ht="18.75" x14ac:dyDescent="0.3">
      <c r="A258" s="3" t="s">
        <v>113</v>
      </c>
      <c r="B258" s="4" t="s">
        <v>250</v>
      </c>
      <c r="C258" s="5">
        <v>832</v>
      </c>
      <c r="D258" s="5">
        <v>49920</v>
      </c>
      <c r="E258" s="37"/>
    </row>
    <row r="263" spans="1:7" x14ac:dyDescent="0.25">
      <c r="B263" s="138" t="s">
        <v>203</v>
      </c>
      <c r="C263" s="138"/>
      <c r="D263" s="138"/>
    </row>
    <row r="264" spans="1:7" x14ac:dyDescent="0.25">
      <c r="B264" s="138"/>
      <c r="C264" s="138"/>
      <c r="D264" s="138"/>
    </row>
    <row r="267" spans="1:7" ht="18.75" x14ac:dyDescent="0.3">
      <c r="A267" s="35" t="s">
        <v>0</v>
      </c>
      <c r="B267" s="35" t="s">
        <v>1</v>
      </c>
      <c r="C267" s="35" t="s">
        <v>2</v>
      </c>
      <c r="D267" s="35" t="s">
        <v>3</v>
      </c>
      <c r="E267" s="35" t="s">
        <v>4</v>
      </c>
      <c r="F267" s="35" t="s">
        <v>5</v>
      </c>
      <c r="G267" s="35" t="s">
        <v>6</v>
      </c>
    </row>
    <row r="268" spans="1:7" ht="18.75" x14ac:dyDescent="0.3">
      <c r="A268" s="22">
        <v>1742</v>
      </c>
      <c r="B268" s="22" t="s">
        <v>19</v>
      </c>
      <c r="C268" s="23" t="s">
        <v>71</v>
      </c>
      <c r="D268" s="24">
        <v>1388</v>
      </c>
      <c r="E268" s="22">
        <v>900</v>
      </c>
      <c r="F268" s="25" t="s">
        <v>256</v>
      </c>
      <c r="G268" s="26">
        <f>D268*E268</f>
        <v>1249200</v>
      </c>
    </row>
    <row r="269" spans="1:7" ht="18.75" x14ac:dyDescent="0.3">
      <c r="A269" s="1" t="s">
        <v>7</v>
      </c>
      <c r="B269" s="7">
        <v>5.4</v>
      </c>
      <c r="C269" s="48" t="s">
        <v>3</v>
      </c>
      <c r="D269" s="48" t="s">
        <v>8</v>
      </c>
      <c r="E269" s="46">
        <v>749200</v>
      </c>
      <c r="F269" s="10"/>
      <c r="G269" s="11">
        <v>499680</v>
      </c>
    </row>
    <row r="270" spans="1:7" ht="18.75" x14ac:dyDescent="0.3">
      <c r="A270" s="2" t="s">
        <v>174</v>
      </c>
      <c r="B270" s="12">
        <v>58</v>
      </c>
      <c r="C270" s="5">
        <v>690</v>
      </c>
      <c r="D270" s="50">
        <f>B270*C270</f>
        <v>40020</v>
      </c>
      <c r="E270" s="21">
        <v>0.6</v>
      </c>
      <c r="F270" s="10"/>
      <c r="G270" s="21">
        <v>0.4</v>
      </c>
    </row>
    <row r="271" spans="1:7" ht="18.75" x14ac:dyDescent="0.3">
      <c r="A271" s="2" t="s">
        <v>257</v>
      </c>
      <c r="B271" s="12">
        <v>86</v>
      </c>
      <c r="C271" s="3">
        <v>920</v>
      </c>
      <c r="D271" s="50">
        <f t="shared" ref="D271:D278" si="7">B271*C271</f>
        <v>79120</v>
      </c>
      <c r="E271" s="10"/>
      <c r="F271" s="10"/>
      <c r="G271" s="10"/>
    </row>
    <row r="272" spans="1:7" ht="18.75" x14ac:dyDescent="0.3">
      <c r="A272" s="2" t="s">
        <v>46</v>
      </c>
      <c r="B272" s="12">
        <v>89</v>
      </c>
      <c r="C272" s="3">
        <v>1380</v>
      </c>
      <c r="D272" s="50">
        <f t="shared" si="7"/>
        <v>122820</v>
      </c>
      <c r="E272" s="10"/>
      <c r="F272" s="10"/>
      <c r="G272" s="10"/>
    </row>
    <row r="273" spans="1:7" ht="18.75" x14ac:dyDescent="0.3">
      <c r="A273" s="2" t="s">
        <v>70</v>
      </c>
      <c r="B273" s="12">
        <v>64</v>
      </c>
      <c r="C273" s="5">
        <v>1380</v>
      </c>
      <c r="D273" s="50">
        <f t="shared" si="7"/>
        <v>88320</v>
      </c>
      <c r="E273" s="10"/>
      <c r="F273" s="10"/>
      <c r="G273" s="10"/>
    </row>
    <row r="274" spans="1:7" ht="18.75" x14ac:dyDescent="0.3">
      <c r="A274" s="2" t="s">
        <v>61</v>
      </c>
      <c r="B274" s="12">
        <v>66</v>
      </c>
      <c r="C274" s="3">
        <v>1380</v>
      </c>
      <c r="D274" s="50">
        <f t="shared" si="7"/>
        <v>91080</v>
      </c>
      <c r="E274" s="10"/>
      <c r="F274" s="10"/>
      <c r="G274" s="14">
        <f>E269-D284-D285-D286-D287-D288-D289-D290-D291-D292-D293-D294-D295-D296-D297-D298-D299-D300-D301-D302-D303-D304-D305-D306-D306</f>
        <v>0</v>
      </c>
    </row>
    <row r="275" spans="1:7" ht="18.75" x14ac:dyDescent="0.3">
      <c r="A275" s="2" t="s">
        <v>156</v>
      </c>
      <c r="B275" s="12">
        <v>60</v>
      </c>
      <c r="C275" s="3">
        <v>1380</v>
      </c>
      <c r="D275" s="50">
        <f t="shared" si="7"/>
        <v>82800</v>
      </c>
      <c r="E275" s="10"/>
      <c r="F275" s="10"/>
      <c r="G275" s="10"/>
    </row>
    <row r="276" spans="1:7" ht="18.75" x14ac:dyDescent="0.3">
      <c r="A276" s="2" t="s">
        <v>101</v>
      </c>
      <c r="B276" s="12">
        <v>43</v>
      </c>
      <c r="C276" s="3">
        <v>1380</v>
      </c>
      <c r="D276" s="50">
        <f t="shared" si="7"/>
        <v>59340</v>
      </c>
      <c r="E276" s="10"/>
      <c r="F276" s="10"/>
      <c r="G276" s="10"/>
    </row>
    <row r="277" spans="1:7" ht="18.75" x14ac:dyDescent="0.3">
      <c r="A277" s="2" t="s">
        <v>41</v>
      </c>
      <c r="B277" s="15">
        <v>74</v>
      </c>
      <c r="C277" s="3">
        <v>1380</v>
      </c>
      <c r="D277" s="50">
        <f t="shared" si="7"/>
        <v>102120</v>
      </c>
      <c r="E277" s="10"/>
      <c r="F277" s="10"/>
      <c r="G277" s="10"/>
    </row>
    <row r="278" spans="1:7" ht="18.75" x14ac:dyDescent="0.3">
      <c r="A278" s="2"/>
      <c r="B278" s="15"/>
      <c r="C278" s="3"/>
      <c r="D278" s="50">
        <f t="shared" si="7"/>
        <v>0</v>
      </c>
      <c r="E278" s="10"/>
      <c r="F278" s="16"/>
      <c r="G278" s="16"/>
    </row>
    <row r="279" spans="1:7" ht="18.75" x14ac:dyDescent="0.3">
      <c r="A279" s="2"/>
      <c r="B279" s="15"/>
      <c r="C279" s="3"/>
      <c r="D279" s="50"/>
      <c r="E279" s="10"/>
      <c r="F279" s="17"/>
      <c r="G279" s="17"/>
    </row>
    <row r="280" spans="1:7" ht="18.75" x14ac:dyDescent="0.3">
      <c r="A280" s="2"/>
      <c r="B280" s="12"/>
      <c r="C280" s="3"/>
      <c r="D280" s="50"/>
      <c r="E280" s="10"/>
      <c r="F280" s="10"/>
      <c r="G280" s="10"/>
    </row>
    <row r="281" spans="1:7" ht="18.75" x14ac:dyDescent="0.3">
      <c r="A281" s="2"/>
      <c r="B281" s="12"/>
      <c r="C281" s="3"/>
      <c r="D281" s="50"/>
      <c r="E281" s="10"/>
      <c r="F281" s="10"/>
      <c r="G281" s="10"/>
    </row>
    <row r="282" spans="1:7" ht="18.75" x14ac:dyDescent="0.3">
      <c r="A282" s="18"/>
      <c r="B282" s="19"/>
      <c r="C282" s="20"/>
      <c r="D282" s="13"/>
      <c r="E282" s="10"/>
      <c r="F282" s="10"/>
      <c r="G282" s="10"/>
    </row>
    <row r="283" spans="1:7" ht="18.75" x14ac:dyDescent="0.3">
      <c r="A283" s="1" t="s">
        <v>10</v>
      </c>
      <c r="B283" s="1" t="s">
        <v>11</v>
      </c>
      <c r="C283" s="1" t="s">
        <v>12</v>
      </c>
      <c r="D283" s="1" t="s">
        <v>13</v>
      </c>
      <c r="E283" s="1" t="s">
        <v>14</v>
      </c>
      <c r="F283" s="10"/>
      <c r="G283" s="10"/>
    </row>
    <row r="284" spans="1:7" ht="18.75" x14ac:dyDescent="0.3">
      <c r="A284" s="3" t="s">
        <v>15</v>
      </c>
      <c r="B284" s="4" t="s">
        <v>258</v>
      </c>
      <c r="C284" s="3">
        <v>690</v>
      </c>
      <c r="D284" s="58">
        <v>40020</v>
      </c>
      <c r="E284" s="3"/>
      <c r="F284" s="10"/>
      <c r="G284" s="10"/>
    </row>
    <row r="285" spans="1:7" ht="18.75" x14ac:dyDescent="0.3">
      <c r="A285" s="3" t="s">
        <v>113</v>
      </c>
      <c r="B285" s="4" t="s">
        <v>258</v>
      </c>
      <c r="C285" s="3">
        <v>690</v>
      </c>
      <c r="D285" s="58">
        <v>40020</v>
      </c>
      <c r="E285" s="5"/>
      <c r="F285" s="10"/>
      <c r="G285" s="10"/>
    </row>
    <row r="286" spans="1:7" ht="18.75" x14ac:dyDescent="0.3">
      <c r="A286" s="3" t="s">
        <v>17</v>
      </c>
      <c r="B286" s="4" t="s">
        <v>259</v>
      </c>
      <c r="C286" s="3">
        <v>1380</v>
      </c>
      <c r="D286" s="58">
        <v>88320</v>
      </c>
      <c r="E286" s="5"/>
      <c r="F286" s="10"/>
      <c r="G286" s="10"/>
    </row>
    <row r="287" spans="1:7" ht="18.75" x14ac:dyDescent="0.3">
      <c r="A287" s="3" t="s">
        <v>205</v>
      </c>
      <c r="B287" s="4" t="s">
        <v>260</v>
      </c>
      <c r="C287" s="5">
        <v>1380</v>
      </c>
      <c r="D287" s="58">
        <v>82800</v>
      </c>
      <c r="E287" s="3"/>
      <c r="F287" s="10"/>
      <c r="G287" s="10"/>
    </row>
    <row r="288" spans="1:7" ht="18.75" x14ac:dyDescent="0.3">
      <c r="A288" s="6" t="s">
        <v>42</v>
      </c>
      <c r="B288" s="4" t="s">
        <v>270</v>
      </c>
      <c r="C288" s="3">
        <v>1273</v>
      </c>
      <c r="D288" s="58">
        <v>113297</v>
      </c>
      <c r="E288" s="5"/>
      <c r="F288" s="10"/>
      <c r="G288" s="10"/>
    </row>
    <row r="289" spans="1:7" ht="18.75" x14ac:dyDescent="0.3">
      <c r="A289" s="3" t="s">
        <v>15</v>
      </c>
      <c r="B289" s="4" t="s">
        <v>271</v>
      </c>
      <c r="C289" s="3">
        <v>460</v>
      </c>
      <c r="D289" s="58">
        <v>39560</v>
      </c>
      <c r="E289" s="5"/>
      <c r="F289" s="10"/>
      <c r="G289" s="10"/>
    </row>
    <row r="290" spans="1:7" ht="18.75" x14ac:dyDescent="0.3">
      <c r="A290" s="3" t="s">
        <v>16</v>
      </c>
      <c r="B290" s="4" t="s">
        <v>272</v>
      </c>
      <c r="C290" s="3">
        <v>920</v>
      </c>
      <c r="D290" s="58">
        <v>79120</v>
      </c>
      <c r="E290" s="5"/>
      <c r="F290" s="10"/>
      <c r="G290" s="10"/>
    </row>
    <row r="291" spans="1:7" ht="18.75" x14ac:dyDescent="0.3">
      <c r="A291" s="3" t="s">
        <v>17</v>
      </c>
      <c r="B291" s="4" t="s">
        <v>273</v>
      </c>
      <c r="C291" s="3">
        <v>1035</v>
      </c>
      <c r="D291" s="58">
        <v>68310</v>
      </c>
      <c r="E291" s="3"/>
      <c r="F291" s="10"/>
      <c r="G291" s="10"/>
    </row>
    <row r="292" spans="1:7" ht="18.75" x14ac:dyDescent="0.3">
      <c r="A292" s="3" t="s">
        <v>104</v>
      </c>
      <c r="B292" s="4" t="s">
        <v>275</v>
      </c>
      <c r="C292" s="3">
        <v>1380</v>
      </c>
      <c r="D292" s="58">
        <v>59340</v>
      </c>
      <c r="E292" s="3"/>
      <c r="F292" s="10"/>
      <c r="G292" s="10"/>
    </row>
    <row r="293" spans="1:7" ht="18.75" x14ac:dyDescent="0.3">
      <c r="A293" s="3" t="s">
        <v>185</v>
      </c>
      <c r="B293" s="4" t="s">
        <v>41</v>
      </c>
      <c r="C293" s="3">
        <v>1380</v>
      </c>
      <c r="D293" s="58">
        <v>105408</v>
      </c>
      <c r="E293" s="3"/>
      <c r="F293" s="10"/>
      <c r="G293" s="10"/>
    </row>
    <row r="294" spans="1:7" ht="18.75" x14ac:dyDescent="0.3">
      <c r="A294" s="3" t="s">
        <v>113</v>
      </c>
      <c r="B294" s="4" t="s">
        <v>274</v>
      </c>
      <c r="C294" s="3">
        <v>115</v>
      </c>
      <c r="D294" s="58">
        <v>10235</v>
      </c>
      <c r="E294" s="3"/>
      <c r="F294" s="10"/>
      <c r="G294" s="10"/>
    </row>
    <row r="295" spans="1:7" ht="18.75" x14ac:dyDescent="0.3">
      <c r="A295" s="3" t="s">
        <v>29</v>
      </c>
      <c r="B295" s="4" t="s">
        <v>290</v>
      </c>
      <c r="C295" s="3">
        <v>345</v>
      </c>
      <c r="D295" s="58">
        <v>22770</v>
      </c>
      <c r="E295" s="3"/>
      <c r="F295" s="10"/>
      <c r="G295" s="10"/>
    </row>
    <row r="296" spans="1:7" ht="18.75" x14ac:dyDescent="0.3">
      <c r="A296" s="3"/>
      <c r="B296" s="4"/>
      <c r="C296" s="3"/>
      <c r="D296" s="5"/>
      <c r="E296" s="3" t="s">
        <v>249</v>
      </c>
      <c r="F296" s="10"/>
      <c r="G296" s="10"/>
    </row>
    <row r="297" spans="1:7" ht="18.75" x14ac:dyDescent="0.3">
      <c r="A297" s="3"/>
      <c r="B297" s="4"/>
      <c r="C297" s="3"/>
      <c r="D297" s="5"/>
      <c r="E297" s="3"/>
      <c r="F297" s="10"/>
      <c r="G297" s="10"/>
    </row>
    <row r="298" spans="1:7" ht="18.75" x14ac:dyDescent="0.3">
      <c r="A298" s="3"/>
      <c r="B298" s="4"/>
      <c r="C298" s="3"/>
      <c r="D298" s="5"/>
      <c r="E298" s="3"/>
      <c r="F298" s="10"/>
      <c r="G298" s="10"/>
    </row>
    <row r="299" spans="1:7" ht="18.75" x14ac:dyDescent="0.3">
      <c r="A299" s="3"/>
      <c r="B299" s="4"/>
      <c r="C299" s="5"/>
      <c r="D299" s="5"/>
      <c r="E299" s="3"/>
      <c r="F299" s="10"/>
      <c r="G299" s="10"/>
    </row>
    <row r="300" spans="1:7" ht="18.75" x14ac:dyDescent="0.3">
      <c r="A300" s="3"/>
      <c r="B300" s="4"/>
      <c r="C300" s="5"/>
      <c r="D300" s="5"/>
      <c r="E300" s="3"/>
    </row>
    <row r="301" spans="1:7" ht="18.75" x14ac:dyDescent="0.3">
      <c r="A301" s="3"/>
      <c r="B301" s="4"/>
      <c r="C301" s="5"/>
      <c r="D301" s="5"/>
      <c r="E301" s="3"/>
    </row>
    <row r="302" spans="1:7" ht="18.75" x14ac:dyDescent="0.3">
      <c r="A302" s="3"/>
      <c r="B302" s="4"/>
      <c r="C302" s="5"/>
      <c r="D302" s="5"/>
      <c r="E302" s="3"/>
    </row>
    <row r="303" spans="1:7" ht="18.75" x14ac:dyDescent="0.3">
      <c r="A303" s="3"/>
      <c r="B303" s="4"/>
      <c r="C303" s="5"/>
      <c r="D303" s="5"/>
      <c r="E303" s="3"/>
    </row>
    <row r="304" spans="1:7" ht="18.75" x14ac:dyDescent="0.3">
      <c r="A304" s="3"/>
      <c r="B304" s="4"/>
      <c r="C304" s="5"/>
      <c r="D304" s="5"/>
      <c r="E304" s="3"/>
    </row>
    <row r="305" spans="1:7" ht="18.75" x14ac:dyDescent="0.3">
      <c r="A305" s="3"/>
      <c r="B305" s="4"/>
      <c r="C305" s="5"/>
      <c r="D305" s="5"/>
    </row>
    <row r="306" spans="1:7" ht="18.75" x14ac:dyDescent="0.3">
      <c r="A306" s="3"/>
      <c r="B306" s="4"/>
      <c r="C306" s="5"/>
      <c r="D306" s="5"/>
    </row>
    <row r="307" spans="1:7" ht="18.75" x14ac:dyDescent="0.3">
      <c r="D307" s="5"/>
    </row>
    <row r="312" spans="1:7" ht="18.75" x14ac:dyDescent="0.3">
      <c r="A312" s="35" t="s">
        <v>0</v>
      </c>
      <c r="B312" s="35" t="s">
        <v>1</v>
      </c>
      <c r="C312" s="35" t="s">
        <v>2</v>
      </c>
      <c r="D312" s="35" t="s">
        <v>3</v>
      </c>
      <c r="E312" s="35" t="s">
        <v>4</v>
      </c>
      <c r="F312" s="35" t="s">
        <v>5</v>
      </c>
      <c r="G312" s="35" t="s">
        <v>6</v>
      </c>
    </row>
    <row r="313" spans="1:7" ht="18.75" x14ac:dyDescent="0.3">
      <c r="A313" s="22">
        <v>1751</v>
      </c>
      <c r="B313" s="22" t="s">
        <v>19</v>
      </c>
      <c r="C313" s="23" t="s">
        <v>71</v>
      </c>
      <c r="D313" s="24">
        <v>1388</v>
      </c>
      <c r="E313" s="22">
        <v>900</v>
      </c>
      <c r="F313" s="25" t="s">
        <v>276</v>
      </c>
      <c r="G313" s="26">
        <f>D313*E313</f>
        <v>1249200</v>
      </c>
    </row>
    <row r="314" spans="1:7" ht="18.75" x14ac:dyDescent="0.3">
      <c r="A314" s="1" t="s">
        <v>7</v>
      </c>
      <c r="B314" s="7">
        <v>5.4</v>
      </c>
      <c r="C314" s="48" t="s">
        <v>3</v>
      </c>
      <c r="D314" s="48" t="s">
        <v>8</v>
      </c>
      <c r="E314" s="46">
        <v>749520</v>
      </c>
      <c r="F314" s="10"/>
      <c r="G314" s="11">
        <v>499680</v>
      </c>
    </row>
    <row r="315" spans="1:7" ht="18.75" x14ac:dyDescent="0.3">
      <c r="A315" s="2" t="s">
        <v>174</v>
      </c>
      <c r="B315" s="12">
        <v>58</v>
      </c>
      <c r="C315" s="5">
        <v>1388</v>
      </c>
      <c r="D315" s="50">
        <f>B315*C315</f>
        <v>80504</v>
      </c>
      <c r="E315" s="21">
        <v>0.6</v>
      </c>
      <c r="F315" s="10"/>
      <c r="G315" s="21">
        <v>0.4</v>
      </c>
    </row>
    <row r="316" spans="1:7" ht="18.75" x14ac:dyDescent="0.3">
      <c r="A316" s="2" t="s">
        <v>257</v>
      </c>
      <c r="B316" s="12">
        <v>86</v>
      </c>
      <c r="C316" s="3">
        <v>1388</v>
      </c>
      <c r="D316" s="50">
        <f t="shared" ref="D316:D323" si="8">B316*C316</f>
        <v>119368</v>
      </c>
      <c r="E316" s="10"/>
      <c r="F316" s="10"/>
      <c r="G316" s="10"/>
    </row>
    <row r="317" spans="1:7" ht="18.75" x14ac:dyDescent="0.3">
      <c r="A317" s="2" t="s">
        <v>46</v>
      </c>
      <c r="B317" s="12">
        <v>89</v>
      </c>
      <c r="C317" s="3">
        <v>920</v>
      </c>
      <c r="D317" s="50">
        <f t="shared" si="8"/>
        <v>81880</v>
      </c>
      <c r="E317" s="10"/>
      <c r="F317" s="10"/>
      <c r="G317" s="10"/>
    </row>
    <row r="318" spans="1:7" ht="18.75" x14ac:dyDescent="0.3">
      <c r="A318" s="2" t="s">
        <v>70</v>
      </c>
      <c r="B318" s="12">
        <v>64</v>
      </c>
      <c r="C318" s="5">
        <v>1388</v>
      </c>
      <c r="D318" s="50">
        <f t="shared" si="8"/>
        <v>88832</v>
      </c>
      <c r="E318" s="10"/>
      <c r="F318" s="10"/>
      <c r="G318" s="10"/>
    </row>
    <row r="319" spans="1:7" ht="18.75" x14ac:dyDescent="0.3">
      <c r="A319" s="2" t="s">
        <v>61</v>
      </c>
      <c r="B319" s="12">
        <v>66</v>
      </c>
      <c r="C319" s="3">
        <v>1388</v>
      </c>
      <c r="D319" s="50">
        <f t="shared" si="8"/>
        <v>91608</v>
      </c>
      <c r="E319" s="10"/>
      <c r="F319" s="10"/>
      <c r="G319" s="14">
        <f>E314-D329-D330-D331-D332-D333-D334-D335-D336-D337-D338-D339-D340-D341-D342-D343-D344-D345-D346-D347-D348-D349-D350-D351-D351</f>
        <v>0</v>
      </c>
    </row>
    <row r="320" spans="1:7" ht="18.75" x14ac:dyDescent="0.3">
      <c r="A320" s="2" t="s">
        <v>156</v>
      </c>
      <c r="B320" s="12">
        <v>60</v>
      </c>
      <c r="C320" s="3">
        <v>1388</v>
      </c>
      <c r="D320" s="50">
        <f t="shared" si="8"/>
        <v>83280</v>
      </c>
      <c r="E320" s="10"/>
      <c r="F320" s="10"/>
      <c r="G320" s="10"/>
    </row>
    <row r="321" spans="1:7" ht="18.75" x14ac:dyDescent="0.3">
      <c r="A321" s="2" t="s">
        <v>101</v>
      </c>
      <c r="B321" s="12">
        <v>43</v>
      </c>
      <c r="C321" s="3">
        <v>1388</v>
      </c>
      <c r="D321" s="50">
        <f t="shared" si="8"/>
        <v>59684</v>
      </c>
      <c r="E321" s="10"/>
      <c r="F321" s="10"/>
      <c r="G321" s="10"/>
    </row>
    <row r="322" spans="1:7" ht="18.75" x14ac:dyDescent="0.3">
      <c r="A322" s="2" t="s">
        <v>41</v>
      </c>
      <c r="B322" s="15">
        <v>74</v>
      </c>
      <c r="C322" s="3">
        <v>1388</v>
      </c>
      <c r="D322" s="50">
        <f t="shared" si="8"/>
        <v>102712</v>
      </c>
      <c r="E322" s="10"/>
      <c r="F322" s="10"/>
      <c r="G322" s="10"/>
    </row>
    <row r="323" spans="1:7" ht="18.75" x14ac:dyDescent="0.3">
      <c r="A323" s="2"/>
      <c r="B323" s="15"/>
      <c r="C323" s="3"/>
      <c r="D323" s="50">
        <f t="shared" si="8"/>
        <v>0</v>
      </c>
      <c r="E323" s="10"/>
      <c r="F323" s="16"/>
      <c r="G323" s="16"/>
    </row>
    <row r="324" spans="1:7" ht="18.75" x14ac:dyDescent="0.3">
      <c r="A324" s="2"/>
      <c r="B324" s="15"/>
      <c r="C324" s="3"/>
      <c r="D324" s="50"/>
      <c r="E324" s="10"/>
      <c r="F324" s="17"/>
      <c r="G324" s="17"/>
    </row>
    <row r="325" spans="1:7" ht="18.75" x14ac:dyDescent="0.3">
      <c r="A325" s="2"/>
      <c r="B325" s="12"/>
      <c r="C325" s="3"/>
      <c r="D325" s="50"/>
      <c r="E325" s="10"/>
      <c r="F325" s="10"/>
      <c r="G325" s="10"/>
    </row>
    <row r="326" spans="1:7" ht="18.75" x14ac:dyDescent="0.3">
      <c r="A326" s="2"/>
      <c r="B326" s="12"/>
      <c r="C326" s="3"/>
      <c r="D326" s="50"/>
      <c r="E326" s="10"/>
      <c r="F326" s="10"/>
      <c r="G326" s="10"/>
    </row>
    <row r="327" spans="1:7" ht="18.75" x14ac:dyDescent="0.3">
      <c r="A327" s="18"/>
      <c r="B327" s="19"/>
      <c r="C327" s="20"/>
      <c r="D327" s="13"/>
      <c r="E327" s="10"/>
      <c r="F327" s="10"/>
      <c r="G327" s="10"/>
    </row>
    <row r="328" spans="1:7" ht="18.75" x14ac:dyDescent="0.3">
      <c r="A328" s="1" t="s">
        <v>10</v>
      </c>
      <c r="B328" s="1" t="s">
        <v>11</v>
      </c>
      <c r="C328" s="1" t="s">
        <v>12</v>
      </c>
      <c r="D328" s="1" t="s">
        <v>13</v>
      </c>
      <c r="E328" s="1" t="s">
        <v>14</v>
      </c>
      <c r="F328" s="10"/>
      <c r="G328" s="10"/>
    </row>
    <row r="329" spans="1:7" ht="18.75" x14ac:dyDescent="0.3">
      <c r="A329" s="3" t="s">
        <v>15</v>
      </c>
      <c r="B329" s="4" t="s">
        <v>281</v>
      </c>
      <c r="C329" s="3">
        <v>920</v>
      </c>
      <c r="D329" s="58">
        <v>79120</v>
      </c>
      <c r="E329" s="3"/>
      <c r="F329" s="10"/>
      <c r="G329" s="10"/>
    </row>
    <row r="330" spans="1:7" ht="18.75" x14ac:dyDescent="0.3">
      <c r="A330" s="3" t="s">
        <v>113</v>
      </c>
      <c r="B330" s="4" t="s">
        <v>277</v>
      </c>
      <c r="C330" s="3">
        <v>1388</v>
      </c>
      <c r="D330" s="58">
        <v>80504</v>
      </c>
      <c r="E330" s="5"/>
      <c r="F330" s="10"/>
      <c r="G330" s="10"/>
    </row>
    <row r="331" spans="1:7" ht="18.75" x14ac:dyDescent="0.3">
      <c r="A331" s="3" t="s">
        <v>17</v>
      </c>
      <c r="B331" s="4" t="s">
        <v>279</v>
      </c>
      <c r="C331" s="3">
        <v>1388</v>
      </c>
      <c r="D331" s="58">
        <v>88832</v>
      </c>
      <c r="E331" s="5"/>
      <c r="F331" s="10"/>
      <c r="G331" s="10"/>
    </row>
    <row r="332" spans="1:7" ht="18.75" x14ac:dyDescent="0.3">
      <c r="A332" s="3" t="s">
        <v>205</v>
      </c>
      <c r="B332" s="4" t="s">
        <v>289</v>
      </c>
      <c r="C332" s="5">
        <v>460</v>
      </c>
      <c r="D332" s="58">
        <v>27600</v>
      </c>
      <c r="E332" s="3"/>
      <c r="F332" s="10"/>
      <c r="G332" s="10"/>
    </row>
    <row r="333" spans="1:7" ht="18.75" x14ac:dyDescent="0.3">
      <c r="A333" s="6" t="s">
        <v>42</v>
      </c>
      <c r="B333" s="4" t="s">
        <v>287</v>
      </c>
      <c r="C333" s="3">
        <v>920</v>
      </c>
      <c r="D333" s="58">
        <v>81880</v>
      </c>
      <c r="E333" s="5"/>
      <c r="F333" s="10"/>
      <c r="G333" s="10"/>
    </row>
    <row r="334" spans="1:7" ht="18.75" x14ac:dyDescent="0.3">
      <c r="A334" s="3" t="s">
        <v>17</v>
      </c>
      <c r="B334" s="4" t="s">
        <v>291</v>
      </c>
      <c r="C334" s="3">
        <v>1388</v>
      </c>
      <c r="D334" s="58">
        <v>91608</v>
      </c>
      <c r="E334" s="5"/>
      <c r="F334" s="10"/>
      <c r="G334" s="10"/>
    </row>
    <row r="335" spans="1:7" ht="18.75" x14ac:dyDescent="0.3">
      <c r="A335" s="3" t="s">
        <v>16</v>
      </c>
      <c r="B335" s="4" t="s">
        <v>280</v>
      </c>
      <c r="C335" s="3">
        <v>460</v>
      </c>
      <c r="D335" s="58">
        <v>40940</v>
      </c>
      <c r="E335" s="5"/>
      <c r="F335" s="10"/>
      <c r="G335" s="10"/>
    </row>
    <row r="336" spans="1:7" ht="18.75" x14ac:dyDescent="0.3">
      <c r="A336" s="3" t="s">
        <v>16</v>
      </c>
      <c r="B336" s="4" t="s">
        <v>285</v>
      </c>
      <c r="C336" s="3">
        <v>460</v>
      </c>
      <c r="D336" s="58">
        <v>39560</v>
      </c>
      <c r="E336" s="3"/>
      <c r="F336" s="10"/>
      <c r="G336" s="10"/>
    </row>
    <row r="337" spans="1:7" ht="18.75" x14ac:dyDescent="0.3">
      <c r="A337" s="3" t="s">
        <v>59</v>
      </c>
      <c r="B337" s="4" t="s">
        <v>288</v>
      </c>
      <c r="C337" s="3">
        <v>920</v>
      </c>
      <c r="D337" s="58">
        <v>55200</v>
      </c>
      <c r="E337" s="3"/>
      <c r="F337" s="10"/>
      <c r="G337" s="10"/>
    </row>
    <row r="338" spans="1:7" ht="18.75" x14ac:dyDescent="0.3">
      <c r="A338" s="3" t="s">
        <v>185</v>
      </c>
      <c r="B338" s="4" t="s">
        <v>67</v>
      </c>
      <c r="C338" s="3">
        <v>1388</v>
      </c>
      <c r="D338" s="58">
        <v>104592</v>
      </c>
      <c r="E338" s="3"/>
      <c r="F338" s="10"/>
      <c r="G338" s="10"/>
    </row>
    <row r="339" spans="1:7" ht="18.75" x14ac:dyDescent="0.3">
      <c r="A339" s="3" t="s">
        <v>104</v>
      </c>
      <c r="B339" s="4" t="s">
        <v>292</v>
      </c>
      <c r="C339" s="3">
        <v>1388</v>
      </c>
      <c r="D339" s="58">
        <v>59684</v>
      </c>
      <c r="E339" s="3"/>
      <c r="F339" s="10"/>
      <c r="G339" s="10"/>
    </row>
    <row r="340" spans="1:7" ht="18.75" x14ac:dyDescent="0.3">
      <c r="A340" s="3"/>
      <c r="B340" s="4"/>
      <c r="C340" s="3"/>
      <c r="D340" s="58"/>
      <c r="E340" s="3"/>
      <c r="F340" s="10"/>
      <c r="G340" s="10"/>
    </row>
    <row r="341" spans="1:7" ht="18.75" x14ac:dyDescent="0.3">
      <c r="A341" s="3"/>
      <c r="B341" s="4"/>
      <c r="C341" s="3"/>
      <c r="D341" s="5"/>
      <c r="E341" s="3" t="s">
        <v>249</v>
      </c>
      <c r="F341" s="10"/>
      <c r="G341" s="10"/>
    </row>
    <row r="342" spans="1:7" ht="18.75" x14ac:dyDescent="0.3">
      <c r="A342" s="3"/>
      <c r="B342" s="4"/>
      <c r="C342" s="3"/>
      <c r="D342" s="5"/>
      <c r="E342" s="3"/>
      <c r="F342" s="10"/>
      <c r="G342" s="10"/>
    </row>
    <row r="343" spans="1:7" ht="18.75" x14ac:dyDescent="0.3">
      <c r="A343" s="3"/>
      <c r="B343" s="4"/>
      <c r="C343" s="3"/>
      <c r="D343" s="5"/>
      <c r="E343" s="3"/>
      <c r="F343" s="10"/>
      <c r="G343" s="10"/>
    </row>
    <row r="344" spans="1:7" ht="18.75" x14ac:dyDescent="0.3">
      <c r="A344" s="3"/>
      <c r="B344" s="4"/>
      <c r="C344" s="5"/>
      <c r="D344" s="5"/>
      <c r="E344" s="3"/>
      <c r="F344" s="10"/>
      <c r="G344" s="10"/>
    </row>
    <row r="345" spans="1:7" ht="18.75" x14ac:dyDescent="0.3">
      <c r="A345" s="3"/>
      <c r="B345" s="4"/>
      <c r="C345" s="5"/>
      <c r="D345" s="5"/>
      <c r="E345" s="3"/>
    </row>
    <row r="346" spans="1:7" ht="18.75" x14ac:dyDescent="0.3">
      <c r="A346" s="3"/>
      <c r="B346" s="4"/>
      <c r="C346" s="5"/>
      <c r="D346" s="5"/>
      <c r="E346" s="3"/>
    </row>
    <row r="347" spans="1:7" ht="18.75" x14ac:dyDescent="0.3">
      <c r="A347" s="3"/>
      <c r="B347" s="4"/>
      <c r="C347" s="5"/>
      <c r="D347" s="5"/>
      <c r="E347" s="3"/>
    </row>
    <row r="348" spans="1:7" ht="18.75" x14ac:dyDescent="0.3">
      <c r="A348" s="3"/>
      <c r="B348" s="4"/>
      <c r="C348" s="5"/>
      <c r="D348" s="5"/>
      <c r="E348" s="3"/>
    </row>
    <row r="349" spans="1:7" ht="18.75" x14ac:dyDescent="0.3">
      <c r="A349" s="3"/>
      <c r="B349" s="4"/>
      <c r="C349" s="5"/>
      <c r="D349" s="5"/>
      <c r="E349" s="3"/>
    </row>
    <row r="350" spans="1:7" ht="18.75" x14ac:dyDescent="0.3">
      <c r="A350" s="3"/>
      <c r="B350" s="4"/>
      <c r="C350" s="5"/>
      <c r="D350" s="5"/>
    </row>
    <row r="351" spans="1:7" ht="18.75" x14ac:dyDescent="0.3">
      <c r="A351" s="3"/>
      <c r="B351" s="4"/>
      <c r="C351" s="5"/>
      <c r="D351" s="5"/>
    </row>
    <row r="352" spans="1:7" ht="18.75" x14ac:dyDescent="0.3">
      <c r="D352" s="5"/>
    </row>
    <row r="357" spans="1:7" ht="18.75" x14ac:dyDescent="0.3">
      <c r="A357" s="35" t="s">
        <v>0</v>
      </c>
      <c r="B357" s="35" t="s">
        <v>1</v>
      </c>
      <c r="C357" s="35" t="s">
        <v>2</v>
      </c>
      <c r="D357" s="35" t="s">
        <v>3</v>
      </c>
      <c r="E357" s="35" t="s">
        <v>4</v>
      </c>
      <c r="F357" s="35" t="s">
        <v>5</v>
      </c>
      <c r="G357" s="35" t="s">
        <v>6</v>
      </c>
    </row>
    <row r="358" spans="1:7" ht="18.75" x14ac:dyDescent="0.3">
      <c r="A358" s="22">
        <v>1752</v>
      </c>
      <c r="B358" s="22" t="s">
        <v>19</v>
      </c>
      <c r="C358" s="23" t="s">
        <v>71</v>
      </c>
      <c r="D358" s="24">
        <v>3435</v>
      </c>
      <c r="E358" s="22">
        <v>900</v>
      </c>
      <c r="F358" s="25" t="s">
        <v>286</v>
      </c>
      <c r="G358" s="26">
        <f>D358*E358</f>
        <v>3091500</v>
      </c>
    </row>
    <row r="359" spans="1:7" ht="18.75" x14ac:dyDescent="0.3">
      <c r="A359" s="1" t="s">
        <v>7</v>
      </c>
      <c r="B359" s="7">
        <v>5.4</v>
      </c>
      <c r="C359" s="48" t="s">
        <v>3</v>
      </c>
      <c r="D359" s="48" t="s">
        <v>8</v>
      </c>
      <c r="E359" s="46">
        <v>1854900</v>
      </c>
      <c r="F359" s="10"/>
      <c r="G359" s="11">
        <v>12364</v>
      </c>
    </row>
    <row r="360" spans="1:7" ht="18.75" x14ac:dyDescent="0.3">
      <c r="A360" s="2" t="s">
        <v>174</v>
      </c>
      <c r="B360" s="12">
        <v>58</v>
      </c>
      <c r="C360" s="5">
        <v>1145</v>
      </c>
      <c r="D360" s="50">
        <f>B360*C360</f>
        <v>66410</v>
      </c>
      <c r="E360" s="21">
        <v>0.6</v>
      </c>
      <c r="F360" s="10"/>
      <c r="G360" s="21">
        <v>0.4</v>
      </c>
    </row>
    <row r="361" spans="1:7" ht="18.75" x14ac:dyDescent="0.3">
      <c r="A361" s="2" t="s">
        <v>257</v>
      </c>
      <c r="B361" s="12">
        <v>86</v>
      </c>
      <c r="C361" s="3">
        <v>1145</v>
      </c>
      <c r="D361" s="50">
        <f t="shared" ref="D361:D368" si="9">B361*C361</f>
        <v>98470</v>
      </c>
      <c r="E361" s="10"/>
      <c r="F361" s="10"/>
      <c r="G361" s="10"/>
    </row>
    <row r="362" spans="1:7" ht="18.75" x14ac:dyDescent="0.3">
      <c r="A362" s="2" t="s">
        <v>46</v>
      </c>
      <c r="B362" s="12">
        <v>89</v>
      </c>
      <c r="C362" s="3">
        <v>1145</v>
      </c>
      <c r="D362" s="50">
        <f t="shared" si="9"/>
        <v>101905</v>
      </c>
      <c r="E362" s="10"/>
      <c r="F362" s="10"/>
      <c r="G362" s="10"/>
    </row>
    <row r="363" spans="1:7" ht="18.75" x14ac:dyDescent="0.3">
      <c r="A363" s="2" t="s">
        <v>70</v>
      </c>
      <c r="B363" s="12">
        <v>64</v>
      </c>
      <c r="C363" s="5">
        <v>3435</v>
      </c>
      <c r="D363" s="50">
        <f t="shared" si="9"/>
        <v>219840</v>
      </c>
      <c r="E363" s="10"/>
      <c r="F363" s="10"/>
      <c r="G363" s="10"/>
    </row>
    <row r="364" spans="1:7" ht="18.75" x14ac:dyDescent="0.3">
      <c r="A364" s="2" t="s">
        <v>61</v>
      </c>
      <c r="B364" s="12">
        <v>66</v>
      </c>
      <c r="C364" s="3">
        <v>3435</v>
      </c>
      <c r="D364" s="50">
        <f t="shared" si="9"/>
        <v>226710</v>
      </c>
      <c r="E364" s="10"/>
      <c r="F364" s="10"/>
      <c r="G364" s="14">
        <f>E359-D374-D375-D376-D377-D378-D379-D380-D381-D382-D383-D384-D385-D386-D387-D388-D389-D390-D391-D392-D393-D394-D395-D396-D396</f>
        <v>0</v>
      </c>
    </row>
    <row r="365" spans="1:7" ht="18.75" x14ac:dyDescent="0.3">
      <c r="A365" s="2" t="s">
        <v>156</v>
      </c>
      <c r="B365" s="12">
        <v>60</v>
      </c>
      <c r="C365" s="3">
        <v>3435</v>
      </c>
      <c r="D365" s="50">
        <f t="shared" si="9"/>
        <v>206100</v>
      </c>
      <c r="E365" s="10"/>
      <c r="F365" s="10"/>
      <c r="G365" s="10"/>
    </row>
    <row r="366" spans="1:7" ht="18.75" x14ac:dyDescent="0.3">
      <c r="A366" s="2" t="s">
        <v>101</v>
      </c>
      <c r="B366" s="12">
        <v>43</v>
      </c>
      <c r="C366" s="3">
        <v>3435</v>
      </c>
      <c r="D366" s="50">
        <f t="shared" si="9"/>
        <v>147705</v>
      </c>
      <c r="E366" s="10"/>
      <c r="F366" s="10"/>
      <c r="G366" s="10"/>
    </row>
    <row r="367" spans="1:7" ht="18.75" x14ac:dyDescent="0.3">
      <c r="A367" s="2" t="s">
        <v>41</v>
      </c>
      <c r="B367" s="15">
        <v>74</v>
      </c>
      <c r="C367" s="3">
        <v>3435</v>
      </c>
      <c r="D367" s="50">
        <f t="shared" si="9"/>
        <v>254190</v>
      </c>
      <c r="E367" s="10"/>
      <c r="F367" s="10"/>
      <c r="G367" s="10"/>
    </row>
    <row r="368" spans="1:7" ht="18.75" x14ac:dyDescent="0.3">
      <c r="A368" s="2"/>
      <c r="B368" s="15"/>
      <c r="C368" s="3"/>
      <c r="D368" s="50">
        <f t="shared" si="9"/>
        <v>0</v>
      </c>
      <c r="E368" s="10"/>
      <c r="F368" s="16"/>
      <c r="G368" s="16"/>
    </row>
    <row r="369" spans="1:7" ht="18.75" x14ac:dyDescent="0.3">
      <c r="A369" s="2"/>
      <c r="B369" s="15"/>
      <c r="C369" s="3"/>
      <c r="D369" s="50"/>
      <c r="E369" s="10"/>
      <c r="F369" s="17"/>
      <c r="G369" s="17"/>
    </row>
    <row r="370" spans="1:7" ht="18.75" x14ac:dyDescent="0.3">
      <c r="A370" s="2"/>
      <c r="B370" s="12"/>
      <c r="C370" s="3"/>
      <c r="D370" s="50"/>
      <c r="E370" s="10"/>
      <c r="F370" s="10"/>
      <c r="G370" s="10"/>
    </row>
    <row r="371" spans="1:7" ht="18.75" x14ac:dyDescent="0.3">
      <c r="A371" s="2"/>
      <c r="B371" s="12"/>
      <c r="C371" s="3"/>
      <c r="D371" s="50"/>
      <c r="E371" s="10"/>
      <c r="F371" s="10"/>
      <c r="G371" s="10"/>
    </row>
    <row r="372" spans="1:7" ht="18.75" x14ac:dyDescent="0.3">
      <c r="A372" s="18"/>
      <c r="B372" s="19"/>
      <c r="C372" s="20"/>
      <c r="D372" s="13"/>
      <c r="E372" s="10"/>
      <c r="F372" s="10"/>
      <c r="G372" s="10"/>
    </row>
    <row r="373" spans="1:7" ht="18.75" x14ac:dyDescent="0.3">
      <c r="A373" s="1" t="s">
        <v>10</v>
      </c>
      <c r="B373" s="1" t="s">
        <v>11</v>
      </c>
      <c r="C373" s="1" t="s">
        <v>12</v>
      </c>
      <c r="D373" s="1" t="s">
        <v>13</v>
      </c>
      <c r="E373" s="1" t="s">
        <v>14</v>
      </c>
      <c r="F373" s="10"/>
      <c r="G373" s="10"/>
    </row>
    <row r="374" spans="1:7" ht="18.75" x14ac:dyDescent="0.3">
      <c r="A374" s="3" t="s">
        <v>104</v>
      </c>
      <c r="B374" s="4" t="s">
        <v>303</v>
      </c>
      <c r="C374" s="3">
        <v>1145</v>
      </c>
      <c r="D374" s="58">
        <v>66410</v>
      </c>
      <c r="E374" s="3"/>
      <c r="F374" s="10"/>
      <c r="G374" s="10"/>
    </row>
    <row r="375" spans="1:7" ht="18.75" x14ac:dyDescent="0.3">
      <c r="A375" s="3" t="s">
        <v>113</v>
      </c>
      <c r="B375" s="4" t="s">
        <v>302</v>
      </c>
      <c r="C375" s="3">
        <v>1145</v>
      </c>
      <c r="D375" s="58">
        <v>66410</v>
      </c>
      <c r="E375" s="5"/>
      <c r="F375" s="10"/>
      <c r="G375" s="10"/>
    </row>
    <row r="376" spans="1:7" ht="18.75" x14ac:dyDescent="0.3">
      <c r="A376" s="3" t="s">
        <v>113</v>
      </c>
      <c r="B376" s="4" t="s">
        <v>304</v>
      </c>
      <c r="C376" s="3">
        <v>1145</v>
      </c>
      <c r="D376" s="58">
        <v>66410</v>
      </c>
      <c r="E376" s="5"/>
      <c r="F376" s="10"/>
      <c r="G376" s="10"/>
    </row>
    <row r="377" spans="1:7" ht="18.75" x14ac:dyDescent="0.3">
      <c r="A377" s="3" t="s">
        <v>17</v>
      </c>
      <c r="B377" s="4" t="s">
        <v>307</v>
      </c>
      <c r="C377" s="5">
        <v>3435</v>
      </c>
      <c r="D377" s="58">
        <v>219840</v>
      </c>
      <c r="E377" s="3"/>
      <c r="F377" s="10"/>
      <c r="G377" s="10"/>
    </row>
    <row r="378" spans="1:7" ht="18.75" x14ac:dyDescent="0.3">
      <c r="A378" s="6" t="s">
        <v>16</v>
      </c>
      <c r="B378" s="4" t="s">
        <v>305</v>
      </c>
      <c r="C378" s="3">
        <v>1145</v>
      </c>
      <c r="D378" s="58">
        <v>98470</v>
      </c>
      <c r="E378" s="5"/>
      <c r="F378" s="10"/>
      <c r="G378" s="10"/>
    </row>
    <row r="379" spans="1:7" ht="18.75" x14ac:dyDescent="0.3">
      <c r="A379" s="3" t="s">
        <v>15</v>
      </c>
      <c r="B379" s="4" t="s">
        <v>314</v>
      </c>
      <c r="C379" s="3">
        <v>2290</v>
      </c>
      <c r="D379" s="58">
        <v>196940</v>
      </c>
      <c r="E379" s="5"/>
      <c r="F379" s="10"/>
      <c r="G379" s="10"/>
    </row>
    <row r="380" spans="1:7" ht="18.75" x14ac:dyDescent="0.3">
      <c r="A380" s="3" t="s">
        <v>42</v>
      </c>
      <c r="B380" s="4" t="s">
        <v>306</v>
      </c>
      <c r="C380" s="3">
        <v>1145</v>
      </c>
      <c r="D380" s="58">
        <v>101905</v>
      </c>
      <c r="E380" s="5"/>
      <c r="F380" s="10"/>
      <c r="G380" s="10"/>
    </row>
    <row r="381" spans="1:7" ht="18.75" x14ac:dyDescent="0.3">
      <c r="A381" s="3" t="s">
        <v>185</v>
      </c>
      <c r="B381" s="4" t="s">
        <v>41</v>
      </c>
      <c r="C381" s="3">
        <v>3435</v>
      </c>
      <c r="D381" s="58">
        <v>254270</v>
      </c>
      <c r="E381" s="3"/>
      <c r="F381" s="10"/>
      <c r="G381" s="10"/>
    </row>
    <row r="382" spans="1:7" ht="18.75" x14ac:dyDescent="0.3">
      <c r="A382" s="3" t="s">
        <v>42</v>
      </c>
      <c r="B382" s="4" t="s">
        <v>309</v>
      </c>
      <c r="C382" s="3">
        <v>1145</v>
      </c>
      <c r="D382" s="58">
        <v>101905</v>
      </c>
      <c r="E382" s="3"/>
      <c r="F382" s="10"/>
      <c r="G382" s="10"/>
    </row>
    <row r="383" spans="1:7" ht="18.75" x14ac:dyDescent="0.3">
      <c r="A383" s="3" t="s">
        <v>16</v>
      </c>
      <c r="B383" s="4" t="s">
        <v>310</v>
      </c>
      <c r="C383" s="3">
        <v>1145</v>
      </c>
      <c r="D383" s="58">
        <v>101905</v>
      </c>
      <c r="E383" s="3"/>
      <c r="F383" s="10"/>
      <c r="G383" s="10"/>
    </row>
    <row r="384" spans="1:7" ht="18.75" x14ac:dyDescent="0.3">
      <c r="A384" s="3" t="s">
        <v>17</v>
      </c>
      <c r="B384" s="4" t="s">
        <v>311</v>
      </c>
      <c r="C384" s="3">
        <v>3435</v>
      </c>
      <c r="D384" s="58">
        <v>226710</v>
      </c>
      <c r="E384" s="3"/>
      <c r="F384" s="10"/>
      <c r="G384" s="10"/>
    </row>
    <row r="385" spans="1:7" ht="18.75" x14ac:dyDescent="0.3">
      <c r="A385" s="3" t="s">
        <v>104</v>
      </c>
      <c r="B385" s="4" t="s">
        <v>312</v>
      </c>
      <c r="C385" s="3">
        <v>3435</v>
      </c>
      <c r="D385" s="58">
        <v>147705</v>
      </c>
      <c r="E385" s="3"/>
      <c r="F385" s="10"/>
      <c r="G385" s="10"/>
    </row>
    <row r="386" spans="1:7" ht="18.75" x14ac:dyDescent="0.3">
      <c r="A386" s="3" t="s">
        <v>29</v>
      </c>
      <c r="B386" s="4" t="s">
        <v>313</v>
      </c>
      <c r="C386" s="3">
        <v>994</v>
      </c>
      <c r="D386" s="5">
        <v>59640</v>
      </c>
      <c r="E386" s="3" t="s">
        <v>249</v>
      </c>
      <c r="F386" s="10"/>
      <c r="G386" s="10"/>
    </row>
    <row r="387" spans="1:7" ht="18.75" x14ac:dyDescent="0.3">
      <c r="A387" s="3" t="s">
        <v>205</v>
      </c>
      <c r="B387" s="4" t="s">
        <v>323</v>
      </c>
      <c r="C387" s="3">
        <v>2243</v>
      </c>
      <c r="D387" s="5">
        <v>134580</v>
      </c>
      <c r="E387" s="3"/>
      <c r="F387" s="10"/>
      <c r="G387" s="10"/>
    </row>
    <row r="388" spans="1:7" ht="18.75" x14ac:dyDescent="0.3">
      <c r="A388" s="3" t="s">
        <v>59</v>
      </c>
      <c r="B388" s="4" t="s">
        <v>324</v>
      </c>
      <c r="C388" s="3">
        <v>198</v>
      </c>
      <c r="D388" s="5">
        <v>11800</v>
      </c>
      <c r="E388" s="3"/>
      <c r="F388" s="10"/>
      <c r="G388" s="10"/>
    </row>
    <row r="389" spans="1:7" ht="18.75" x14ac:dyDescent="0.3">
      <c r="A389" s="3"/>
      <c r="B389" s="4"/>
      <c r="C389" s="5"/>
      <c r="D389" s="5"/>
      <c r="E389" s="3"/>
      <c r="F389" s="10"/>
      <c r="G389" s="10"/>
    </row>
    <row r="390" spans="1:7" ht="18.75" x14ac:dyDescent="0.3">
      <c r="A390" s="3"/>
      <c r="B390" s="4"/>
      <c r="C390" s="5"/>
      <c r="D390" s="5"/>
      <c r="E390" s="3"/>
    </row>
    <row r="391" spans="1:7" ht="18.75" x14ac:dyDescent="0.3">
      <c r="A391" s="3"/>
      <c r="B391" s="4"/>
      <c r="C391" s="5"/>
      <c r="D391" s="5"/>
      <c r="E391" s="3"/>
    </row>
    <row r="392" spans="1:7" ht="18.75" x14ac:dyDescent="0.3">
      <c r="A392" s="3"/>
      <c r="B392" s="4"/>
      <c r="C392" s="5"/>
      <c r="D392" s="5"/>
      <c r="E392" s="3"/>
    </row>
    <row r="393" spans="1:7" ht="18.75" x14ac:dyDescent="0.3">
      <c r="A393" s="3"/>
      <c r="B393" s="4"/>
      <c r="C393" s="5"/>
      <c r="D393" s="5"/>
      <c r="E393" s="3"/>
    </row>
    <row r="394" spans="1:7" ht="18.75" x14ac:dyDescent="0.3">
      <c r="A394" s="3"/>
      <c r="B394" s="4"/>
      <c r="C394" s="5"/>
      <c r="D394" s="5"/>
      <c r="E394" s="3"/>
    </row>
    <row r="395" spans="1:7" ht="18.75" x14ac:dyDescent="0.3">
      <c r="A395" s="3"/>
      <c r="B395" s="4"/>
      <c r="C395" s="5"/>
      <c r="D395" s="5"/>
    </row>
    <row r="396" spans="1:7" ht="18.75" x14ac:dyDescent="0.3">
      <c r="A396" s="3"/>
      <c r="B396" s="4"/>
      <c r="C396" s="5"/>
      <c r="D396" s="5"/>
    </row>
    <row r="397" spans="1:7" ht="18.75" x14ac:dyDescent="0.3">
      <c r="D397" s="5"/>
    </row>
    <row r="400" spans="1:7" ht="18.75" x14ac:dyDescent="0.3">
      <c r="A400" s="35" t="s">
        <v>0</v>
      </c>
      <c r="B400" s="35" t="s">
        <v>1</v>
      </c>
      <c r="C400" s="35" t="s">
        <v>2</v>
      </c>
      <c r="D400" s="35" t="s">
        <v>3</v>
      </c>
      <c r="E400" s="35" t="s">
        <v>4</v>
      </c>
      <c r="F400" s="35" t="s">
        <v>5</v>
      </c>
      <c r="G400" s="35" t="s">
        <v>6</v>
      </c>
    </row>
    <row r="401" spans="1:7" ht="18.75" x14ac:dyDescent="0.3">
      <c r="A401" s="22">
        <v>1763</v>
      </c>
      <c r="B401" s="22" t="s">
        <v>19</v>
      </c>
      <c r="C401" s="23" t="s">
        <v>71</v>
      </c>
      <c r="D401" s="24">
        <v>2680</v>
      </c>
      <c r="E401" s="22">
        <v>900</v>
      </c>
      <c r="F401" s="25" t="s">
        <v>315</v>
      </c>
      <c r="G401" s="26">
        <f>D401*E401</f>
        <v>2412000</v>
      </c>
    </row>
    <row r="402" spans="1:7" ht="18.75" x14ac:dyDescent="0.3">
      <c r="A402" s="1" t="s">
        <v>7</v>
      </c>
      <c r="B402" s="7">
        <v>5.4</v>
      </c>
      <c r="C402" s="48" t="s">
        <v>3</v>
      </c>
      <c r="D402" s="48" t="s">
        <v>8</v>
      </c>
      <c r="E402" s="46">
        <v>1447200</v>
      </c>
      <c r="F402" s="10"/>
      <c r="G402" s="11">
        <v>964800</v>
      </c>
    </row>
    <row r="403" spans="1:7" ht="18.75" x14ac:dyDescent="0.3">
      <c r="A403" s="2" t="s">
        <v>174</v>
      </c>
      <c r="B403" s="12">
        <v>58</v>
      </c>
      <c r="C403" s="5">
        <v>1340</v>
      </c>
      <c r="D403" s="50">
        <v>77720</v>
      </c>
      <c r="E403" s="21">
        <v>0.6</v>
      </c>
      <c r="F403" s="10"/>
      <c r="G403" s="21">
        <v>0.4</v>
      </c>
    </row>
    <row r="404" spans="1:7" ht="18.75" x14ac:dyDescent="0.3">
      <c r="A404" s="2" t="s">
        <v>257</v>
      </c>
      <c r="B404" s="12">
        <v>86</v>
      </c>
      <c r="C404" s="3">
        <v>1340</v>
      </c>
      <c r="D404" s="50">
        <f t="shared" ref="D404:D411" si="10">B404*C404</f>
        <v>115240</v>
      </c>
      <c r="E404" s="10"/>
      <c r="F404" s="10"/>
      <c r="G404" s="10"/>
    </row>
    <row r="405" spans="1:7" ht="18.75" x14ac:dyDescent="0.3">
      <c r="A405" s="2" t="s">
        <v>46</v>
      </c>
      <c r="B405" s="12">
        <v>89</v>
      </c>
      <c r="C405" s="3">
        <v>1340</v>
      </c>
      <c r="D405" s="50">
        <f t="shared" si="10"/>
        <v>119260</v>
      </c>
      <c r="E405" s="10"/>
      <c r="F405" s="10"/>
      <c r="G405" s="10"/>
    </row>
    <row r="406" spans="1:7" ht="18.75" x14ac:dyDescent="0.3">
      <c r="A406" s="2" t="s">
        <v>70</v>
      </c>
      <c r="B406" s="12">
        <v>64</v>
      </c>
      <c r="C406" s="5">
        <v>2680</v>
      </c>
      <c r="D406" s="50">
        <f t="shared" si="10"/>
        <v>171520</v>
      </c>
      <c r="E406" s="10"/>
      <c r="F406" s="10"/>
      <c r="G406" s="10"/>
    </row>
    <row r="407" spans="1:7" ht="18.75" x14ac:dyDescent="0.3">
      <c r="A407" s="2" t="s">
        <v>61</v>
      </c>
      <c r="B407" s="12">
        <v>66</v>
      </c>
      <c r="C407" s="3">
        <v>2680</v>
      </c>
      <c r="D407" s="50">
        <f t="shared" si="10"/>
        <v>176880</v>
      </c>
      <c r="E407" s="10"/>
      <c r="F407" s="10"/>
      <c r="G407" s="14">
        <f>E402-D417-D418-D419-D420-D421-D422-D423-D424-D425-D426-D427-D428-D429-D430-D431-D432-D433-D434-D435-D436-D437-D438-D439-D439</f>
        <v>0</v>
      </c>
    </row>
    <row r="408" spans="1:7" ht="18.75" x14ac:dyDescent="0.3">
      <c r="A408" s="2" t="s">
        <v>156</v>
      </c>
      <c r="B408" s="12">
        <v>60</v>
      </c>
      <c r="C408" s="3">
        <v>1340</v>
      </c>
      <c r="D408" s="50">
        <f t="shared" si="10"/>
        <v>80400</v>
      </c>
      <c r="E408" s="10"/>
      <c r="F408" s="10"/>
      <c r="G408" s="10"/>
    </row>
    <row r="409" spans="1:7" ht="18.75" x14ac:dyDescent="0.3">
      <c r="A409" s="2" t="s">
        <v>101</v>
      </c>
      <c r="B409" s="12">
        <v>43</v>
      </c>
      <c r="C409" s="3">
        <v>2680</v>
      </c>
      <c r="D409" s="50">
        <f t="shared" si="10"/>
        <v>115240</v>
      </c>
      <c r="E409" s="10"/>
      <c r="F409" s="10"/>
    </row>
    <row r="410" spans="1:7" ht="18.75" x14ac:dyDescent="0.3">
      <c r="A410" s="2" t="s">
        <v>41</v>
      </c>
      <c r="B410" s="15">
        <v>74</v>
      </c>
      <c r="C410" s="3">
        <v>2680</v>
      </c>
      <c r="D410" s="50">
        <f t="shared" si="10"/>
        <v>198320</v>
      </c>
      <c r="E410" s="10"/>
      <c r="F410" s="10"/>
    </row>
    <row r="411" spans="1:7" ht="18.75" x14ac:dyDescent="0.3">
      <c r="A411" s="2"/>
      <c r="B411" s="15"/>
      <c r="C411" s="3"/>
      <c r="D411" s="50">
        <f t="shared" si="10"/>
        <v>0</v>
      </c>
      <c r="E411" s="10"/>
      <c r="F411" s="16"/>
    </row>
    <row r="412" spans="1:7" ht="18.75" x14ac:dyDescent="0.3">
      <c r="A412" s="2"/>
      <c r="B412" s="15"/>
      <c r="C412" s="3"/>
      <c r="D412" s="50"/>
      <c r="E412" s="10"/>
      <c r="F412" s="17"/>
    </row>
    <row r="413" spans="1:7" ht="18.75" x14ac:dyDescent="0.3">
      <c r="A413" s="2"/>
      <c r="B413" s="12"/>
      <c r="C413" s="3"/>
      <c r="D413" s="50"/>
      <c r="E413" s="10"/>
      <c r="F413" s="10"/>
    </row>
    <row r="414" spans="1:7" ht="18.75" x14ac:dyDescent="0.3">
      <c r="A414" s="2"/>
      <c r="B414" s="12"/>
      <c r="C414" s="3"/>
      <c r="D414" s="50"/>
      <c r="E414" s="10"/>
      <c r="F414" s="10"/>
    </row>
    <row r="415" spans="1:7" ht="18.75" x14ac:dyDescent="0.3">
      <c r="A415" s="18"/>
      <c r="B415" s="19"/>
      <c r="C415" s="20"/>
      <c r="D415" s="13"/>
      <c r="E415" s="10"/>
      <c r="F415" s="10"/>
    </row>
    <row r="416" spans="1:7" ht="18.75" x14ac:dyDescent="0.3">
      <c r="A416" s="1" t="s">
        <v>10</v>
      </c>
      <c r="B416" s="1" t="s">
        <v>11</v>
      </c>
      <c r="C416" s="1" t="s">
        <v>12</v>
      </c>
      <c r="D416" s="1" t="s">
        <v>13</v>
      </c>
      <c r="E416" s="1" t="s">
        <v>14</v>
      </c>
      <c r="F416" s="10"/>
    </row>
    <row r="417" spans="1:6" ht="18.75" x14ac:dyDescent="0.3">
      <c r="A417" s="3" t="s">
        <v>113</v>
      </c>
      <c r="B417" s="4" t="s">
        <v>316</v>
      </c>
      <c r="C417" s="3">
        <v>1340</v>
      </c>
      <c r="D417" s="58">
        <v>77720</v>
      </c>
      <c r="E417" s="3"/>
      <c r="F417" s="10"/>
    </row>
    <row r="418" spans="1:6" ht="18.75" x14ac:dyDescent="0.3">
      <c r="A418" s="3" t="s">
        <v>42</v>
      </c>
      <c r="B418" s="4" t="s">
        <v>317</v>
      </c>
      <c r="C418" s="3">
        <v>1340</v>
      </c>
      <c r="D418" s="58">
        <v>77720</v>
      </c>
      <c r="E418" s="5"/>
      <c r="F418" s="10"/>
    </row>
    <row r="419" spans="1:6" ht="18.75" x14ac:dyDescent="0.3">
      <c r="A419" s="3" t="s">
        <v>17</v>
      </c>
      <c r="B419" s="4" t="s">
        <v>318</v>
      </c>
      <c r="C419" s="3">
        <v>2680</v>
      </c>
      <c r="D419" s="58">
        <v>171520</v>
      </c>
      <c r="E419" s="5"/>
      <c r="F419" s="10"/>
    </row>
    <row r="420" spans="1:6" ht="18.75" x14ac:dyDescent="0.3">
      <c r="A420" s="3" t="s">
        <v>15</v>
      </c>
      <c r="B420" s="4" t="s">
        <v>319</v>
      </c>
      <c r="C420" s="5">
        <v>1340</v>
      </c>
      <c r="D420" s="58">
        <v>115240</v>
      </c>
      <c r="E420" s="3"/>
      <c r="F420" s="10"/>
    </row>
    <row r="421" spans="1:6" ht="18.75" x14ac:dyDescent="0.3">
      <c r="A421" s="6" t="s">
        <v>16</v>
      </c>
      <c r="B421" s="4" t="s">
        <v>320</v>
      </c>
      <c r="C421" s="3">
        <v>1340</v>
      </c>
      <c r="D421" s="58">
        <v>115240</v>
      </c>
      <c r="E421" s="5"/>
      <c r="F421" s="10"/>
    </row>
    <row r="422" spans="1:6" ht="18.75" x14ac:dyDescent="0.3">
      <c r="A422" s="3" t="s">
        <v>191</v>
      </c>
      <c r="B422" s="4" t="s">
        <v>321</v>
      </c>
      <c r="C422" s="3">
        <v>2680</v>
      </c>
      <c r="D422" s="58">
        <v>198320</v>
      </c>
      <c r="E422" s="5"/>
      <c r="F422" s="10"/>
    </row>
    <row r="423" spans="1:6" ht="18.75" x14ac:dyDescent="0.3">
      <c r="A423" s="3" t="s">
        <v>42</v>
      </c>
      <c r="B423" s="4" t="s">
        <v>325</v>
      </c>
      <c r="C423" s="3">
        <v>1340</v>
      </c>
      <c r="D423" s="58">
        <v>119260</v>
      </c>
      <c r="E423" s="5"/>
      <c r="F423" s="10"/>
    </row>
    <row r="424" spans="1:6" ht="18.75" x14ac:dyDescent="0.3">
      <c r="A424" s="3" t="s">
        <v>59</v>
      </c>
      <c r="B424" s="4" t="s">
        <v>330</v>
      </c>
      <c r="C424" s="3">
        <v>420</v>
      </c>
      <c r="D424" s="58">
        <v>25200</v>
      </c>
      <c r="E424" s="3"/>
      <c r="F424" s="10"/>
    </row>
    <row r="425" spans="1:6" ht="18.75" x14ac:dyDescent="0.3">
      <c r="A425" s="3" t="s">
        <v>104</v>
      </c>
      <c r="B425" s="4" t="s">
        <v>328</v>
      </c>
      <c r="C425" s="3">
        <v>2680</v>
      </c>
      <c r="D425" s="58">
        <v>115240</v>
      </c>
      <c r="E425" s="3"/>
      <c r="F425" s="10"/>
    </row>
    <row r="426" spans="1:6" ht="18.75" x14ac:dyDescent="0.3">
      <c r="A426" s="3" t="s">
        <v>59</v>
      </c>
      <c r="B426" s="4" t="s">
        <v>330</v>
      </c>
      <c r="C426" s="3">
        <v>420</v>
      </c>
      <c r="D426" s="58">
        <v>25200</v>
      </c>
      <c r="E426" s="3"/>
      <c r="F426" s="10"/>
    </row>
    <row r="427" spans="1:6" ht="18.75" x14ac:dyDescent="0.3">
      <c r="A427" s="3" t="s">
        <v>29</v>
      </c>
      <c r="B427" s="4" t="s">
        <v>331</v>
      </c>
      <c r="C427" s="3">
        <v>315</v>
      </c>
      <c r="D427" s="58">
        <v>19020</v>
      </c>
      <c r="E427" s="3"/>
      <c r="F427" s="10"/>
    </row>
    <row r="428" spans="1:6" ht="18.75" x14ac:dyDescent="0.3">
      <c r="A428" s="3" t="s">
        <v>332</v>
      </c>
      <c r="B428" s="4" t="s">
        <v>333</v>
      </c>
      <c r="C428" s="3">
        <v>1340</v>
      </c>
      <c r="D428" s="58">
        <v>80400</v>
      </c>
      <c r="E428" s="3"/>
      <c r="F428" s="10"/>
    </row>
    <row r="429" spans="1:6" ht="18.75" x14ac:dyDescent="0.3">
      <c r="A429" s="3" t="s">
        <v>17</v>
      </c>
      <c r="B429" s="4" t="s">
        <v>346</v>
      </c>
      <c r="C429" s="3">
        <v>2680</v>
      </c>
      <c r="D429" s="5">
        <v>176880</v>
      </c>
      <c r="E429" s="3" t="s">
        <v>249</v>
      </c>
      <c r="F429" s="10"/>
    </row>
    <row r="430" spans="1:6" ht="18.75" x14ac:dyDescent="0.3">
      <c r="A430" s="3" t="s">
        <v>29</v>
      </c>
      <c r="B430" s="4" t="s">
        <v>360</v>
      </c>
      <c r="C430" s="3">
        <v>183</v>
      </c>
      <c r="D430" s="5">
        <v>10980</v>
      </c>
      <c r="E430" s="3"/>
      <c r="F430" s="10"/>
    </row>
    <row r="431" spans="1:6" ht="18.75" x14ac:dyDescent="0.3">
      <c r="A431" s="3" t="s">
        <v>42</v>
      </c>
      <c r="B431" s="4" t="s">
        <v>373</v>
      </c>
      <c r="C431" s="3">
        <v>1025</v>
      </c>
      <c r="D431" s="5">
        <v>91225</v>
      </c>
      <c r="E431" s="3"/>
      <c r="F431" s="10"/>
    </row>
    <row r="432" spans="1:6" ht="18.75" x14ac:dyDescent="0.3">
      <c r="A432" s="3" t="s">
        <v>16</v>
      </c>
      <c r="B432" s="4" t="s">
        <v>372</v>
      </c>
      <c r="C432" s="5">
        <v>315</v>
      </c>
      <c r="D432" s="5">
        <v>28035</v>
      </c>
      <c r="E432" s="3"/>
      <c r="F432" s="10"/>
    </row>
    <row r="433" spans="1:7" ht="18.75" x14ac:dyDescent="0.3">
      <c r="A433" s="3"/>
      <c r="B433" s="4"/>
      <c r="C433" s="5"/>
      <c r="D433" s="5"/>
      <c r="E433" s="3"/>
    </row>
    <row r="434" spans="1:7" ht="18.75" x14ac:dyDescent="0.3">
      <c r="A434" s="3"/>
      <c r="B434" s="4"/>
      <c r="C434" s="5"/>
      <c r="D434" s="5"/>
      <c r="E434" s="3"/>
    </row>
    <row r="435" spans="1:7" ht="18.75" x14ac:dyDescent="0.3">
      <c r="A435" s="3"/>
      <c r="B435" s="4"/>
      <c r="C435" s="5"/>
      <c r="D435" s="5"/>
      <c r="E435" s="3"/>
    </row>
    <row r="436" spans="1:7" ht="18.75" x14ac:dyDescent="0.3">
      <c r="A436" s="3"/>
      <c r="B436" s="4"/>
      <c r="C436" s="5"/>
      <c r="D436" s="5"/>
      <c r="E436" s="3"/>
    </row>
    <row r="437" spans="1:7" ht="18.75" x14ac:dyDescent="0.3">
      <c r="A437" s="3"/>
      <c r="B437" s="4"/>
      <c r="C437" s="5"/>
      <c r="D437" s="5"/>
      <c r="E437" s="3"/>
    </row>
    <row r="438" spans="1:7" ht="18.75" x14ac:dyDescent="0.3">
      <c r="A438" s="3"/>
      <c r="B438" s="4"/>
      <c r="C438" s="5"/>
      <c r="D438" s="5"/>
    </row>
    <row r="439" spans="1:7" ht="18.75" x14ac:dyDescent="0.3">
      <c r="A439" s="3"/>
      <c r="B439" s="4"/>
      <c r="C439" s="5"/>
      <c r="D439" s="5"/>
    </row>
    <row r="443" spans="1:7" ht="18.75" x14ac:dyDescent="0.3">
      <c r="A443" s="35" t="s">
        <v>0</v>
      </c>
      <c r="B443" s="35" t="s">
        <v>1</v>
      </c>
      <c r="C443" s="35" t="s">
        <v>2</v>
      </c>
      <c r="D443" s="35" t="s">
        <v>3</v>
      </c>
      <c r="E443" s="35" t="s">
        <v>4</v>
      </c>
      <c r="F443" s="35" t="s">
        <v>5</v>
      </c>
      <c r="G443" s="35" t="s">
        <v>6</v>
      </c>
    </row>
    <row r="444" spans="1:7" ht="18.75" x14ac:dyDescent="0.3">
      <c r="A444" s="22">
        <v>1773</v>
      </c>
      <c r="B444" s="22" t="s">
        <v>19</v>
      </c>
      <c r="C444" s="23" t="s">
        <v>361</v>
      </c>
      <c r="D444" s="24">
        <v>1620</v>
      </c>
      <c r="E444" s="22">
        <v>900</v>
      </c>
      <c r="F444" s="25" t="s">
        <v>362</v>
      </c>
      <c r="G444" s="26">
        <f>D444*E444</f>
        <v>1458000</v>
      </c>
    </row>
    <row r="445" spans="1:7" ht="18.75" x14ac:dyDescent="0.3">
      <c r="A445" s="1" t="s">
        <v>7</v>
      </c>
      <c r="B445" s="7">
        <v>5.4</v>
      </c>
      <c r="C445" s="48" t="s">
        <v>3</v>
      </c>
      <c r="D445" s="48" t="s">
        <v>8</v>
      </c>
      <c r="E445" s="46">
        <v>874800</v>
      </c>
      <c r="F445" s="10"/>
      <c r="G445" s="11">
        <v>583200</v>
      </c>
    </row>
    <row r="446" spans="1:7" ht="18.75" x14ac:dyDescent="0.3">
      <c r="A446" s="2" t="s">
        <v>335</v>
      </c>
      <c r="B446" s="12">
        <v>80</v>
      </c>
      <c r="C446" s="5">
        <v>1620</v>
      </c>
      <c r="D446" s="50">
        <f t="shared" ref="D446:D454" si="11">B446*C446</f>
        <v>129600</v>
      </c>
      <c r="E446" s="21">
        <v>0.6</v>
      </c>
      <c r="F446" s="10"/>
      <c r="G446" s="21">
        <v>0.4</v>
      </c>
    </row>
    <row r="447" spans="1:7" ht="18.75" x14ac:dyDescent="0.3">
      <c r="A447" s="2" t="s">
        <v>363</v>
      </c>
      <c r="B447" s="12">
        <v>64</v>
      </c>
      <c r="C447" s="3">
        <v>1620</v>
      </c>
      <c r="D447" s="50">
        <f t="shared" si="11"/>
        <v>103680</v>
      </c>
      <c r="E447" s="10"/>
      <c r="F447" s="10"/>
      <c r="G447" s="10"/>
    </row>
    <row r="448" spans="1:7" ht="18.75" x14ac:dyDescent="0.3">
      <c r="A448" s="2" t="s">
        <v>61</v>
      </c>
      <c r="B448" s="12">
        <v>68</v>
      </c>
      <c r="C448" s="3">
        <v>1620</v>
      </c>
      <c r="D448" s="50">
        <f t="shared" si="11"/>
        <v>110160</v>
      </c>
      <c r="E448" s="10"/>
      <c r="F448" s="10"/>
      <c r="G448" s="10"/>
    </row>
    <row r="449" spans="1:7" ht="18.75" x14ac:dyDescent="0.3">
      <c r="A449" s="2" t="s">
        <v>337</v>
      </c>
      <c r="B449" s="12">
        <v>55</v>
      </c>
      <c r="C449" s="5">
        <v>1620</v>
      </c>
      <c r="D449" s="50">
        <f t="shared" si="11"/>
        <v>89100</v>
      </c>
      <c r="E449" s="10"/>
      <c r="F449" s="10"/>
      <c r="G449" s="10"/>
    </row>
    <row r="450" spans="1:7" ht="18.75" x14ac:dyDescent="0.3">
      <c r="A450" s="2" t="s">
        <v>89</v>
      </c>
      <c r="B450" s="12">
        <v>60</v>
      </c>
      <c r="C450" s="3">
        <v>1620</v>
      </c>
      <c r="D450" s="50">
        <f t="shared" si="11"/>
        <v>97200</v>
      </c>
      <c r="E450" s="10"/>
      <c r="F450" s="10"/>
      <c r="G450" s="14">
        <f>E445-D460-D461-D462-D463-D464-D465-D466-D467-D468-D469-D470-D471-D472-D473-D474-D475-D476-D477-D478-D479-D480-D481-D482-D482</f>
        <v>55080</v>
      </c>
    </row>
    <row r="451" spans="1:7" ht="18.75" x14ac:dyDescent="0.3">
      <c r="A451" s="2" t="s">
        <v>338</v>
      </c>
      <c r="B451" s="12">
        <v>43</v>
      </c>
      <c r="C451" s="3">
        <v>1620</v>
      </c>
      <c r="D451" s="50">
        <f t="shared" si="11"/>
        <v>69660</v>
      </c>
      <c r="E451" s="10"/>
      <c r="F451" s="10"/>
      <c r="G451" s="10"/>
    </row>
    <row r="452" spans="1:7" ht="18.75" x14ac:dyDescent="0.3">
      <c r="A452" s="2" t="s">
        <v>339</v>
      </c>
      <c r="B452" s="12">
        <v>65</v>
      </c>
      <c r="C452" s="3">
        <v>1620</v>
      </c>
      <c r="D452" s="50">
        <f t="shared" si="11"/>
        <v>105300</v>
      </c>
      <c r="E452" s="10"/>
      <c r="F452" s="10"/>
    </row>
    <row r="453" spans="1:7" ht="18.75" x14ac:dyDescent="0.3">
      <c r="A453" s="2" t="s">
        <v>41</v>
      </c>
      <c r="B453" s="15">
        <v>105</v>
      </c>
      <c r="C453" s="3">
        <v>1620</v>
      </c>
      <c r="D453" s="50">
        <f t="shared" si="11"/>
        <v>170100</v>
      </c>
      <c r="E453" s="10"/>
      <c r="F453" s="10"/>
    </row>
    <row r="454" spans="1:7" ht="18.75" x14ac:dyDescent="0.3">
      <c r="A454" s="2"/>
      <c r="B454" s="15"/>
      <c r="C454" s="3"/>
      <c r="D454" s="50">
        <f t="shared" si="11"/>
        <v>0</v>
      </c>
      <c r="E454" s="10"/>
      <c r="F454" s="16"/>
    </row>
    <row r="455" spans="1:7" ht="18.75" x14ac:dyDescent="0.3">
      <c r="A455" s="2"/>
      <c r="B455" s="15"/>
      <c r="C455" s="3"/>
      <c r="D455" s="50"/>
      <c r="E455" s="10"/>
      <c r="F455" s="17"/>
    </row>
    <row r="456" spans="1:7" ht="18.75" x14ac:dyDescent="0.3">
      <c r="A456" s="2"/>
      <c r="B456" s="12"/>
      <c r="C456" s="3"/>
      <c r="D456" s="50"/>
      <c r="E456" s="10"/>
      <c r="F456" s="10"/>
    </row>
    <row r="457" spans="1:7" ht="18.75" x14ac:dyDescent="0.3">
      <c r="A457" s="2"/>
      <c r="B457" s="12"/>
      <c r="C457" s="3"/>
      <c r="D457" s="50"/>
      <c r="E457" s="10"/>
      <c r="F457" s="10"/>
    </row>
    <row r="458" spans="1:7" ht="18.75" x14ac:dyDescent="0.3">
      <c r="A458" s="18"/>
      <c r="B458" s="19"/>
      <c r="C458" s="20"/>
      <c r="D458" s="13"/>
      <c r="E458" s="10"/>
      <c r="F458" s="10"/>
    </row>
    <row r="459" spans="1:7" ht="18.75" x14ac:dyDescent="0.3">
      <c r="A459" s="1" t="s">
        <v>10</v>
      </c>
      <c r="B459" s="1" t="s">
        <v>11</v>
      </c>
      <c r="C459" s="1" t="s">
        <v>12</v>
      </c>
      <c r="D459" s="1" t="s">
        <v>13</v>
      </c>
      <c r="E459" s="1" t="s">
        <v>14</v>
      </c>
      <c r="F459" s="10"/>
    </row>
    <row r="460" spans="1:7" ht="18.75" x14ac:dyDescent="0.3">
      <c r="A460" s="3" t="s">
        <v>15</v>
      </c>
      <c r="B460" s="4" t="s">
        <v>365</v>
      </c>
      <c r="C460" s="3">
        <v>810</v>
      </c>
      <c r="D460" s="58">
        <v>64800</v>
      </c>
      <c r="E460" s="3"/>
      <c r="F460" s="10"/>
    </row>
    <row r="461" spans="1:7" ht="18.75" x14ac:dyDescent="0.3">
      <c r="A461" s="3" t="s">
        <v>16</v>
      </c>
      <c r="B461" s="4" t="s">
        <v>366</v>
      </c>
      <c r="C461" s="3">
        <v>810</v>
      </c>
      <c r="D461" s="58">
        <v>64800</v>
      </c>
      <c r="E461" s="5"/>
      <c r="F461" s="10"/>
    </row>
    <row r="462" spans="1:7" ht="18.75" x14ac:dyDescent="0.3">
      <c r="A462" s="3" t="s">
        <v>113</v>
      </c>
      <c r="B462" s="4" t="s">
        <v>367</v>
      </c>
      <c r="C462" s="3">
        <v>1620</v>
      </c>
      <c r="D462" s="58">
        <v>89100</v>
      </c>
      <c r="E462" s="5"/>
      <c r="F462" s="10"/>
    </row>
    <row r="463" spans="1:7" ht="18.75" x14ac:dyDescent="0.3">
      <c r="A463" s="3" t="s">
        <v>17</v>
      </c>
      <c r="B463" s="4" t="s">
        <v>368</v>
      </c>
      <c r="C463" s="5"/>
      <c r="D463" s="58"/>
      <c r="E463" s="3"/>
      <c r="F463" s="10"/>
    </row>
    <row r="464" spans="1:7" ht="18.75" x14ac:dyDescent="0.3">
      <c r="A464" s="6" t="s">
        <v>29</v>
      </c>
      <c r="B464" s="4" t="s">
        <v>368</v>
      </c>
      <c r="C464" s="3"/>
      <c r="D464" s="58"/>
      <c r="E464" s="5"/>
      <c r="F464" s="10"/>
    </row>
    <row r="465" spans="1:6" ht="18.75" x14ac:dyDescent="0.3">
      <c r="A465" s="3" t="s">
        <v>332</v>
      </c>
      <c r="B465" s="4" t="s">
        <v>369</v>
      </c>
      <c r="C465" s="3">
        <v>810</v>
      </c>
      <c r="D465" s="58">
        <v>55080</v>
      </c>
      <c r="E465" s="5"/>
      <c r="F465" s="10"/>
    </row>
    <row r="466" spans="1:6" ht="18.75" x14ac:dyDescent="0.3">
      <c r="A466" s="3" t="s">
        <v>104</v>
      </c>
      <c r="B466" s="4" t="s">
        <v>374</v>
      </c>
      <c r="C466" s="3">
        <v>1620</v>
      </c>
      <c r="D466" s="58">
        <v>103680</v>
      </c>
      <c r="E466" s="5"/>
      <c r="F466" s="10"/>
    </row>
    <row r="467" spans="1:6" ht="18.75" x14ac:dyDescent="0.3">
      <c r="A467" s="3" t="s">
        <v>332</v>
      </c>
      <c r="B467" s="4" t="s">
        <v>375</v>
      </c>
      <c r="C467" s="3">
        <v>1620</v>
      </c>
      <c r="D467" s="58">
        <v>105300</v>
      </c>
      <c r="E467" s="3"/>
      <c r="F467" s="10"/>
    </row>
    <row r="468" spans="1:6" ht="18.75" x14ac:dyDescent="0.3">
      <c r="A468" s="3" t="s">
        <v>42</v>
      </c>
      <c r="B468" s="4" t="s">
        <v>376</v>
      </c>
      <c r="C468" s="3">
        <v>1620</v>
      </c>
      <c r="D468" s="58">
        <v>97200</v>
      </c>
      <c r="E468" s="3"/>
      <c r="F468" s="10"/>
    </row>
    <row r="469" spans="1:6" ht="18.75" x14ac:dyDescent="0.3">
      <c r="A469" s="3" t="s">
        <v>185</v>
      </c>
      <c r="B469" s="4" t="s">
        <v>377</v>
      </c>
      <c r="C469" s="3">
        <v>1620</v>
      </c>
      <c r="D469" s="58">
        <v>170100</v>
      </c>
      <c r="E469" s="3"/>
      <c r="F469" s="10"/>
    </row>
    <row r="470" spans="1:6" ht="18.75" x14ac:dyDescent="0.3">
      <c r="A470" s="3" t="s">
        <v>16</v>
      </c>
      <c r="B470" s="4" t="s">
        <v>380</v>
      </c>
      <c r="C470" s="3">
        <v>1620</v>
      </c>
      <c r="D470" s="58">
        <v>69660</v>
      </c>
      <c r="E470" s="3"/>
      <c r="F470" s="10"/>
    </row>
    <row r="471" spans="1:6" ht="18.75" x14ac:dyDescent="0.3">
      <c r="A471" s="3"/>
      <c r="B471" s="4"/>
      <c r="C471" s="3"/>
      <c r="D471" s="58"/>
      <c r="E471" s="3"/>
      <c r="F471" s="10"/>
    </row>
    <row r="472" spans="1:6" ht="18.75" x14ac:dyDescent="0.3">
      <c r="A472" s="3"/>
      <c r="B472" s="4"/>
      <c r="C472" s="3"/>
      <c r="D472" s="5"/>
      <c r="E472" s="3" t="s">
        <v>249</v>
      </c>
      <c r="F472" s="10"/>
    </row>
    <row r="473" spans="1:6" ht="18.75" x14ac:dyDescent="0.3">
      <c r="A473" s="3"/>
      <c r="B473" s="4"/>
      <c r="C473" s="3"/>
      <c r="D473" s="5"/>
      <c r="E473" s="3"/>
      <c r="F473" s="10"/>
    </row>
    <row r="474" spans="1:6" ht="18.75" x14ac:dyDescent="0.3">
      <c r="A474" s="3"/>
      <c r="B474" s="4"/>
      <c r="C474" s="3"/>
      <c r="D474" s="5"/>
      <c r="E474" s="3"/>
      <c r="F474" s="10"/>
    </row>
    <row r="475" spans="1:6" ht="18.75" x14ac:dyDescent="0.3">
      <c r="A475" s="3"/>
      <c r="B475" s="4"/>
      <c r="C475" s="5"/>
      <c r="D475" s="5"/>
      <c r="E475" s="3"/>
      <c r="F475" s="10"/>
    </row>
    <row r="476" spans="1:6" ht="18.75" x14ac:dyDescent="0.3">
      <c r="A476" s="3"/>
      <c r="B476" s="4"/>
      <c r="C476" s="5"/>
      <c r="D476" s="5"/>
      <c r="E476" s="3"/>
    </row>
    <row r="477" spans="1:6" ht="18.75" x14ac:dyDescent="0.3">
      <c r="A477" s="3"/>
      <c r="B477" s="4"/>
      <c r="C477" s="5"/>
      <c r="D477" s="5"/>
      <c r="E477" s="3"/>
    </row>
    <row r="478" spans="1:6" ht="18.75" x14ac:dyDescent="0.3">
      <c r="A478" s="3"/>
      <c r="B478" s="4"/>
      <c r="C478" s="5"/>
      <c r="D478" s="5"/>
      <c r="E478" s="3"/>
    </row>
    <row r="479" spans="1:6" ht="18.75" x14ac:dyDescent="0.3">
      <c r="A479" s="3"/>
      <c r="B479" s="4"/>
      <c r="C479" s="5"/>
      <c r="D479" s="5"/>
      <c r="E479" s="3"/>
    </row>
    <row r="480" spans="1:6" ht="18.75" x14ac:dyDescent="0.3">
      <c r="A480" s="3"/>
      <c r="B480" s="4"/>
      <c r="C480" s="5"/>
      <c r="D480" s="5"/>
      <c r="E480" s="3"/>
    </row>
    <row r="481" spans="1:7" ht="18.75" x14ac:dyDescent="0.3">
      <c r="A481" s="3"/>
      <c r="B481" s="4"/>
      <c r="C481" s="5"/>
      <c r="D481" s="5"/>
    </row>
    <row r="482" spans="1:7" ht="18.75" x14ac:dyDescent="0.3">
      <c r="A482" s="3"/>
      <c r="B482" s="4"/>
      <c r="C482" s="5"/>
      <c r="D482" s="5"/>
    </row>
    <row r="486" spans="1:7" ht="18.75" x14ac:dyDescent="0.3">
      <c r="A486" s="35" t="s">
        <v>0</v>
      </c>
      <c r="B486" s="35" t="s">
        <v>1</v>
      </c>
      <c r="C486" s="35" t="s">
        <v>2</v>
      </c>
      <c r="D486" s="35" t="s">
        <v>3</v>
      </c>
      <c r="E486" s="35" t="s">
        <v>4</v>
      </c>
      <c r="F486" s="35" t="s">
        <v>5</v>
      </c>
      <c r="G486" s="35" t="s">
        <v>6</v>
      </c>
    </row>
    <row r="487" spans="1:7" ht="18.75" x14ac:dyDescent="0.3">
      <c r="A487" s="22">
        <v>1783</v>
      </c>
      <c r="B487" s="22" t="s">
        <v>19</v>
      </c>
      <c r="C487" s="23" t="s">
        <v>218</v>
      </c>
      <c r="D487" s="24">
        <v>1744</v>
      </c>
      <c r="E487" s="22">
        <v>900</v>
      </c>
      <c r="F487" s="25" t="s">
        <v>370</v>
      </c>
      <c r="G487" s="26">
        <f>D487*E487</f>
        <v>1569600</v>
      </c>
    </row>
    <row r="488" spans="1:7" ht="18.75" x14ac:dyDescent="0.3">
      <c r="A488" s="1" t="s">
        <v>7</v>
      </c>
      <c r="B488" s="7">
        <v>5.4</v>
      </c>
      <c r="C488" s="48" t="s">
        <v>3</v>
      </c>
      <c r="D488" s="48" t="s">
        <v>8</v>
      </c>
      <c r="E488" s="46">
        <v>941760</v>
      </c>
      <c r="F488" s="10"/>
      <c r="G488" s="11">
        <v>627840</v>
      </c>
    </row>
    <row r="489" spans="1:7" ht="18.75" x14ac:dyDescent="0.3">
      <c r="A489" s="2" t="s">
        <v>174</v>
      </c>
      <c r="B489" s="12">
        <v>58</v>
      </c>
      <c r="C489" s="5">
        <v>872</v>
      </c>
      <c r="D489" s="50">
        <f t="shared" ref="D489:D497" si="12">B489*C489</f>
        <v>50576</v>
      </c>
      <c r="E489" s="21">
        <v>0.6</v>
      </c>
      <c r="F489" s="10"/>
      <c r="G489" s="21">
        <v>0.4</v>
      </c>
    </row>
    <row r="490" spans="1:7" ht="18.75" x14ac:dyDescent="0.3">
      <c r="A490" s="2" t="s">
        <v>257</v>
      </c>
      <c r="B490" s="12">
        <v>86</v>
      </c>
      <c r="C490" s="3">
        <v>872</v>
      </c>
      <c r="D490" s="50">
        <f t="shared" si="12"/>
        <v>74992</v>
      </c>
      <c r="E490" s="10"/>
      <c r="F490" s="10"/>
      <c r="G490" s="10"/>
    </row>
    <row r="491" spans="1:7" ht="18.75" x14ac:dyDescent="0.3">
      <c r="A491" s="2" t="s">
        <v>46</v>
      </c>
      <c r="B491" s="12">
        <v>89</v>
      </c>
      <c r="C491" s="3">
        <v>872</v>
      </c>
      <c r="D491" s="50">
        <f t="shared" si="12"/>
        <v>77608</v>
      </c>
      <c r="E491" s="10"/>
      <c r="F491" s="10"/>
      <c r="G491" s="10"/>
    </row>
    <row r="492" spans="1:7" ht="18.75" x14ac:dyDescent="0.3">
      <c r="A492" s="2" t="s">
        <v>70</v>
      </c>
      <c r="B492" s="12">
        <v>64</v>
      </c>
      <c r="C492" s="5">
        <v>1744</v>
      </c>
      <c r="D492" s="50">
        <f t="shared" si="12"/>
        <v>111616</v>
      </c>
      <c r="E492" s="10"/>
      <c r="F492" s="10"/>
      <c r="G492" s="10"/>
    </row>
    <row r="493" spans="1:7" ht="18.75" x14ac:dyDescent="0.3">
      <c r="A493" s="2" t="s">
        <v>391</v>
      </c>
      <c r="B493" s="12">
        <v>60</v>
      </c>
      <c r="C493" s="3">
        <v>872</v>
      </c>
      <c r="D493" s="50">
        <f t="shared" si="12"/>
        <v>52320</v>
      </c>
      <c r="E493" s="10"/>
      <c r="F493" s="10"/>
      <c r="G493" s="14">
        <f>E488-D503-D504-D505-D506-D507-D508-D509-D510-D511-D512-D513-D514-D515-D516-D517-D518-D519-D520-D521-D522-D523-D524-D525-D525</f>
        <v>224</v>
      </c>
    </row>
    <row r="494" spans="1:7" ht="18.75" x14ac:dyDescent="0.3">
      <c r="A494" s="2" t="s">
        <v>156</v>
      </c>
      <c r="B494" s="12">
        <v>60</v>
      </c>
      <c r="C494" s="3">
        <v>872</v>
      </c>
      <c r="D494" s="50">
        <f t="shared" si="12"/>
        <v>52320</v>
      </c>
      <c r="E494" s="10"/>
      <c r="F494" s="10"/>
      <c r="G494" s="10"/>
    </row>
    <row r="495" spans="1:7" ht="18.75" x14ac:dyDescent="0.3">
      <c r="A495" s="2" t="s">
        <v>101</v>
      </c>
      <c r="B495" s="12">
        <v>43</v>
      </c>
      <c r="C495" s="3">
        <v>1744</v>
      </c>
      <c r="D495" s="50">
        <f t="shared" si="12"/>
        <v>74992</v>
      </c>
      <c r="E495" s="10"/>
      <c r="F495" s="10"/>
    </row>
    <row r="496" spans="1:7" ht="18.75" x14ac:dyDescent="0.3">
      <c r="A496" s="2" t="s">
        <v>41</v>
      </c>
      <c r="B496" s="15">
        <v>80</v>
      </c>
      <c r="C496" s="3">
        <v>1744</v>
      </c>
      <c r="D496" s="50">
        <f t="shared" si="12"/>
        <v>139520</v>
      </c>
      <c r="E496" s="10"/>
      <c r="F496" s="10"/>
    </row>
    <row r="497" spans="1:6" ht="18.75" x14ac:dyDescent="0.3">
      <c r="A497" s="2"/>
      <c r="B497" s="15"/>
      <c r="C497" s="3"/>
      <c r="D497" s="50">
        <f t="shared" si="12"/>
        <v>0</v>
      </c>
      <c r="E497" s="10"/>
      <c r="F497" s="16"/>
    </row>
    <row r="498" spans="1:6" ht="18.75" x14ac:dyDescent="0.3">
      <c r="A498" s="2"/>
      <c r="B498" s="15"/>
      <c r="C498" s="3"/>
      <c r="D498" s="50"/>
      <c r="E498" s="10"/>
      <c r="F498" s="17"/>
    </row>
    <row r="499" spans="1:6" ht="18.75" x14ac:dyDescent="0.3">
      <c r="A499" s="2"/>
      <c r="B499" s="12"/>
      <c r="C499" s="3"/>
      <c r="D499" s="50"/>
      <c r="E499" s="10"/>
      <c r="F499" s="10"/>
    </row>
    <row r="500" spans="1:6" ht="18.75" x14ac:dyDescent="0.3">
      <c r="A500" s="2"/>
      <c r="B500" s="12"/>
      <c r="C500" s="3"/>
      <c r="D500" s="50"/>
      <c r="E500" s="10"/>
      <c r="F500" s="10"/>
    </row>
    <row r="501" spans="1:6" ht="18.75" x14ac:dyDescent="0.3">
      <c r="A501" s="18"/>
      <c r="B501" s="19"/>
      <c r="C501" s="20"/>
      <c r="D501" s="13"/>
      <c r="E501" s="10"/>
      <c r="F501" s="10"/>
    </row>
    <row r="502" spans="1:6" ht="18.75" x14ac:dyDescent="0.3">
      <c r="A502" s="1" t="s">
        <v>10</v>
      </c>
      <c r="B502" s="1" t="s">
        <v>11</v>
      </c>
      <c r="C502" s="1" t="s">
        <v>12</v>
      </c>
      <c r="D502" s="1" t="s">
        <v>13</v>
      </c>
      <c r="E502" s="1" t="s">
        <v>14</v>
      </c>
      <c r="F502" s="10"/>
    </row>
    <row r="503" spans="1:6" ht="18.75" x14ac:dyDescent="0.3">
      <c r="A503" s="3" t="s">
        <v>384</v>
      </c>
      <c r="B503" s="4" t="s">
        <v>385</v>
      </c>
      <c r="C503" s="3">
        <v>872</v>
      </c>
      <c r="D503" s="58">
        <v>50576</v>
      </c>
      <c r="E503" s="3"/>
      <c r="F503" s="10"/>
    </row>
    <row r="504" spans="1:6" ht="18.75" x14ac:dyDescent="0.3">
      <c r="A504" s="3" t="s">
        <v>17</v>
      </c>
      <c r="B504" s="4" t="s">
        <v>371</v>
      </c>
      <c r="C504" s="3">
        <v>1744</v>
      </c>
      <c r="D504" s="58">
        <v>111616</v>
      </c>
      <c r="E504" s="5"/>
      <c r="F504" s="10"/>
    </row>
    <row r="505" spans="1:6" ht="18.75" x14ac:dyDescent="0.3">
      <c r="A505" s="3" t="s">
        <v>185</v>
      </c>
      <c r="B505" s="4" t="s">
        <v>378</v>
      </c>
      <c r="C505" s="3">
        <v>1744</v>
      </c>
      <c r="D505" s="58">
        <v>139520</v>
      </c>
      <c r="E505" s="5"/>
      <c r="F505" s="10"/>
    </row>
    <row r="506" spans="1:6" ht="18.75" x14ac:dyDescent="0.3">
      <c r="A506" s="3" t="s">
        <v>113</v>
      </c>
      <c r="B506" s="4" t="s">
        <v>386</v>
      </c>
      <c r="C506" s="5">
        <v>432</v>
      </c>
      <c r="D506" s="58">
        <v>25056</v>
      </c>
      <c r="E506" s="3"/>
      <c r="F506" s="10"/>
    </row>
    <row r="507" spans="1:6" ht="18.75" x14ac:dyDescent="0.3">
      <c r="A507" s="6" t="s">
        <v>104</v>
      </c>
      <c r="B507" s="4" t="s">
        <v>386</v>
      </c>
      <c r="C507" s="3">
        <v>432</v>
      </c>
      <c r="D507" s="58">
        <v>25056</v>
      </c>
      <c r="E507" s="5"/>
      <c r="F507" s="10"/>
    </row>
    <row r="508" spans="1:6" ht="18.75" x14ac:dyDescent="0.3">
      <c r="A508" s="38"/>
      <c r="B508" s="38" t="s">
        <v>393</v>
      </c>
      <c r="C508" s="38"/>
      <c r="D508" s="66"/>
      <c r="E508" s="5"/>
      <c r="F508" s="10"/>
    </row>
    <row r="509" spans="1:6" ht="18.75" x14ac:dyDescent="0.3">
      <c r="A509" s="3" t="s">
        <v>15</v>
      </c>
      <c r="B509" s="4" t="s">
        <v>387</v>
      </c>
      <c r="C509" s="3">
        <v>872</v>
      </c>
      <c r="D509" s="58">
        <v>74992</v>
      </c>
      <c r="E509" s="5"/>
      <c r="F509" s="10"/>
    </row>
    <row r="510" spans="1:6" ht="18.75" x14ac:dyDescent="0.3">
      <c r="A510" s="3" t="s">
        <v>16</v>
      </c>
      <c r="B510" s="4" t="s">
        <v>388</v>
      </c>
      <c r="C510" s="3">
        <v>872</v>
      </c>
      <c r="D510" s="58">
        <v>74992</v>
      </c>
      <c r="E510" s="3"/>
      <c r="F510" s="10"/>
    </row>
    <row r="511" spans="1:6" ht="18.75" x14ac:dyDescent="0.3">
      <c r="A511" s="3" t="s">
        <v>42</v>
      </c>
      <c r="B511" s="4" t="s">
        <v>389</v>
      </c>
      <c r="C511" s="3">
        <v>872</v>
      </c>
      <c r="D511" s="58">
        <v>77608</v>
      </c>
      <c r="E511" s="3"/>
      <c r="F511" s="10"/>
    </row>
    <row r="512" spans="1:6" ht="18.75" x14ac:dyDescent="0.3">
      <c r="A512" s="3" t="s">
        <v>59</v>
      </c>
      <c r="B512" s="4" t="s">
        <v>390</v>
      </c>
      <c r="C512" s="3">
        <v>438</v>
      </c>
      <c r="D512" s="58">
        <v>26280</v>
      </c>
      <c r="E512" s="3"/>
      <c r="F512" s="10"/>
    </row>
    <row r="513" spans="1:6" ht="18.75" x14ac:dyDescent="0.3">
      <c r="A513" s="3" t="s">
        <v>29</v>
      </c>
      <c r="B513" s="4" t="s">
        <v>390</v>
      </c>
      <c r="C513" s="3">
        <v>438</v>
      </c>
      <c r="D513" s="58">
        <v>26280</v>
      </c>
      <c r="E513" s="3"/>
      <c r="F513" s="10"/>
    </row>
    <row r="514" spans="1:6" ht="18.75" x14ac:dyDescent="0.3">
      <c r="A514" s="3" t="s">
        <v>332</v>
      </c>
      <c r="B514" s="4" t="s">
        <v>411</v>
      </c>
      <c r="C514" s="3">
        <v>872</v>
      </c>
      <c r="D514" s="58">
        <v>52320</v>
      </c>
      <c r="E514" s="3"/>
      <c r="F514" s="10"/>
    </row>
    <row r="515" spans="1:6" ht="18.75" x14ac:dyDescent="0.3">
      <c r="A515" s="3" t="s">
        <v>113</v>
      </c>
      <c r="B515" s="4" t="s">
        <v>392</v>
      </c>
      <c r="C515" s="3">
        <v>872</v>
      </c>
      <c r="D515" s="5">
        <v>52320</v>
      </c>
      <c r="E515" s="3" t="s">
        <v>249</v>
      </c>
      <c r="F515" s="10"/>
    </row>
    <row r="516" spans="1:6" ht="18.75" x14ac:dyDescent="0.3">
      <c r="A516" s="3" t="s">
        <v>104</v>
      </c>
      <c r="B516" s="4" t="s">
        <v>401</v>
      </c>
      <c r="C516" s="3">
        <v>1744</v>
      </c>
      <c r="D516" s="5">
        <v>74992</v>
      </c>
      <c r="E516" s="3"/>
      <c r="F516" s="10"/>
    </row>
    <row r="517" spans="1:6" ht="18.75" x14ac:dyDescent="0.3">
      <c r="A517" s="3" t="s">
        <v>113</v>
      </c>
      <c r="B517" s="4" t="s">
        <v>392</v>
      </c>
      <c r="C517" s="3">
        <v>872</v>
      </c>
      <c r="D517" s="5">
        <v>52320</v>
      </c>
      <c r="E517" s="3"/>
      <c r="F517" s="10"/>
    </row>
    <row r="518" spans="1:6" ht="18.75" x14ac:dyDescent="0.3">
      <c r="A518" s="3" t="s">
        <v>16</v>
      </c>
      <c r="B518" s="4" t="s">
        <v>424</v>
      </c>
      <c r="C518" s="3">
        <v>872</v>
      </c>
      <c r="D518" s="58">
        <v>77608</v>
      </c>
      <c r="E518" s="3"/>
      <c r="F518" s="10"/>
    </row>
    <row r="519" spans="1:6" ht="18.75" x14ac:dyDescent="0.3">
      <c r="A519" s="3"/>
      <c r="B519" s="4"/>
      <c r="C519" s="5"/>
      <c r="D519" s="5"/>
      <c r="E519" s="3"/>
    </row>
    <row r="520" spans="1:6" ht="18.75" x14ac:dyDescent="0.3">
      <c r="A520" s="3"/>
      <c r="B520" s="4"/>
      <c r="C520" s="5"/>
      <c r="D520" s="5"/>
      <c r="E520" s="3"/>
    </row>
    <row r="521" spans="1:6" ht="18.75" x14ac:dyDescent="0.3">
      <c r="A521" s="3"/>
      <c r="B521" s="4"/>
      <c r="C521" s="5"/>
      <c r="D521" s="5"/>
      <c r="E521" s="3"/>
    </row>
    <row r="522" spans="1:6" ht="18.75" x14ac:dyDescent="0.3">
      <c r="A522" s="3"/>
      <c r="B522" s="4"/>
      <c r="C522" s="5"/>
      <c r="D522" s="5"/>
      <c r="E522" s="3"/>
    </row>
    <row r="523" spans="1:6" ht="18.75" x14ac:dyDescent="0.3">
      <c r="A523" s="3"/>
      <c r="B523" s="4"/>
      <c r="C523" s="5"/>
      <c r="D523" s="5"/>
      <c r="E523" s="3"/>
    </row>
    <row r="524" spans="1:6" ht="18.75" x14ac:dyDescent="0.3">
      <c r="A524" s="3"/>
      <c r="B524" s="4"/>
      <c r="C524" s="5"/>
      <c r="D524" s="5"/>
    </row>
    <row r="525" spans="1:6" ht="18.75" x14ac:dyDescent="0.3">
      <c r="A525" s="3"/>
      <c r="B525" s="4"/>
      <c r="C525" s="5"/>
      <c r="D525" s="5"/>
    </row>
    <row r="528" spans="1:6" x14ac:dyDescent="0.25">
      <c r="A528" s="138" t="s">
        <v>395</v>
      </c>
      <c r="B528" s="138"/>
      <c r="C528" s="138"/>
    </row>
    <row r="529" spans="1:7" x14ac:dyDescent="0.25">
      <c r="A529" s="138"/>
      <c r="B529" s="138"/>
      <c r="C529" s="138"/>
    </row>
    <row r="534" spans="1:7" ht="18.75" x14ac:dyDescent="0.3">
      <c r="A534" s="35" t="s">
        <v>0</v>
      </c>
      <c r="B534" s="35" t="s">
        <v>1</v>
      </c>
      <c r="C534" s="35" t="s">
        <v>2</v>
      </c>
      <c r="D534" s="35" t="s">
        <v>3</v>
      </c>
      <c r="E534" s="35" t="s">
        <v>4</v>
      </c>
      <c r="F534" s="35" t="s">
        <v>5</v>
      </c>
      <c r="G534" s="35" t="s">
        <v>6</v>
      </c>
    </row>
    <row r="535" spans="1:7" ht="18.75" x14ac:dyDescent="0.3">
      <c r="A535" s="22">
        <v>1793</v>
      </c>
      <c r="B535" s="22" t="s">
        <v>19</v>
      </c>
      <c r="C535" s="23" t="s">
        <v>452</v>
      </c>
      <c r="D535" s="24">
        <v>1110</v>
      </c>
      <c r="E535" s="22">
        <v>900</v>
      </c>
      <c r="F535" s="25" t="s">
        <v>444</v>
      </c>
      <c r="G535" s="26">
        <f>D535*E535</f>
        <v>999000</v>
      </c>
    </row>
    <row r="536" spans="1:7" ht="18.75" x14ac:dyDescent="0.3">
      <c r="A536" s="1" t="s">
        <v>7</v>
      </c>
      <c r="B536" s="7">
        <v>5.4</v>
      </c>
      <c r="C536" s="48" t="s">
        <v>3</v>
      </c>
      <c r="D536" s="48" t="s">
        <v>8</v>
      </c>
      <c r="E536" s="46">
        <v>599400</v>
      </c>
      <c r="F536" s="10"/>
      <c r="G536" s="11">
        <v>399600</v>
      </c>
    </row>
    <row r="537" spans="1:7" ht="18.75" x14ac:dyDescent="0.3">
      <c r="A537" s="2" t="s">
        <v>174</v>
      </c>
      <c r="B537" s="12">
        <v>58</v>
      </c>
      <c r="C537" s="5">
        <v>1110</v>
      </c>
      <c r="D537" s="50">
        <f t="shared" ref="D537:D545" si="13">B537*C537</f>
        <v>64380</v>
      </c>
      <c r="E537" s="21">
        <v>0.6</v>
      </c>
      <c r="F537" s="10"/>
      <c r="G537" s="21">
        <v>0.4</v>
      </c>
    </row>
    <row r="538" spans="1:7" ht="18.75" x14ac:dyDescent="0.3">
      <c r="A538" s="2" t="s">
        <v>257</v>
      </c>
      <c r="B538" s="12">
        <v>86</v>
      </c>
      <c r="C538" s="3">
        <v>1110</v>
      </c>
      <c r="D538" s="50">
        <f t="shared" si="13"/>
        <v>95460</v>
      </c>
      <c r="E538" s="10"/>
      <c r="F538" s="10"/>
      <c r="G538" s="10"/>
    </row>
    <row r="539" spans="1:7" ht="18.75" x14ac:dyDescent="0.3">
      <c r="A539" s="2" t="s">
        <v>46</v>
      </c>
      <c r="B539" s="12">
        <v>89</v>
      </c>
      <c r="C539" s="3">
        <v>777</v>
      </c>
      <c r="D539" s="50">
        <f t="shared" si="13"/>
        <v>69153</v>
      </c>
      <c r="E539" s="10"/>
      <c r="F539" s="10"/>
      <c r="G539" s="10"/>
    </row>
    <row r="540" spans="1:7" ht="18.75" x14ac:dyDescent="0.3">
      <c r="A540" s="2" t="s">
        <v>70</v>
      </c>
      <c r="B540" s="12">
        <v>64</v>
      </c>
      <c r="C540" s="5">
        <v>1110</v>
      </c>
      <c r="D540" s="50">
        <f t="shared" si="13"/>
        <v>71040</v>
      </c>
      <c r="E540" s="10"/>
      <c r="F540" s="10"/>
      <c r="G540" s="10"/>
    </row>
    <row r="541" spans="1:7" ht="18.75" x14ac:dyDescent="0.3">
      <c r="A541" s="2" t="s">
        <v>61</v>
      </c>
      <c r="B541" s="12">
        <v>66</v>
      </c>
      <c r="C541" s="3">
        <v>1110</v>
      </c>
      <c r="D541" s="50">
        <f t="shared" si="13"/>
        <v>73260</v>
      </c>
      <c r="E541" s="10"/>
      <c r="F541" s="10"/>
      <c r="G541" s="14">
        <f>E536-D551-D552-D553-D554-D555-D556-D557-D558-D559-D560-D561-D562-D563-D564-D565-D566-D567-D568-D569-D570-D571-D572-D573-D573</f>
        <v>0</v>
      </c>
    </row>
    <row r="542" spans="1:7" ht="18.75" x14ac:dyDescent="0.3">
      <c r="A542" s="2" t="s">
        <v>156</v>
      </c>
      <c r="B542" s="12">
        <v>60</v>
      </c>
      <c r="C542" s="3">
        <v>1110</v>
      </c>
      <c r="D542" s="50">
        <f t="shared" si="13"/>
        <v>66600</v>
      </c>
      <c r="E542" s="10"/>
      <c r="F542" s="10"/>
      <c r="G542" s="10"/>
    </row>
    <row r="543" spans="1:7" ht="18.75" x14ac:dyDescent="0.3">
      <c r="A543" s="2" t="s">
        <v>101</v>
      </c>
      <c r="B543" s="12">
        <v>43</v>
      </c>
      <c r="C543" s="3">
        <v>1110</v>
      </c>
      <c r="D543" s="50">
        <f t="shared" si="13"/>
        <v>47730</v>
      </c>
      <c r="E543" s="10"/>
      <c r="F543" s="10"/>
    </row>
    <row r="544" spans="1:7" ht="18.75" x14ac:dyDescent="0.3">
      <c r="A544" s="2" t="s">
        <v>41</v>
      </c>
      <c r="B544" s="15">
        <v>74</v>
      </c>
      <c r="C544" s="3">
        <v>1110</v>
      </c>
      <c r="D544" s="50">
        <f t="shared" si="13"/>
        <v>82140</v>
      </c>
      <c r="E544" s="10"/>
      <c r="F544" s="10"/>
    </row>
    <row r="545" spans="1:6" ht="18.75" x14ac:dyDescent="0.3">
      <c r="A545" s="2"/>
      <c r="B545" s="15"/>
      <c r="C545" s="3"/>
      <c r="D545" s="50">
        <f t="shared" si="13"/>
        <v>0</v>
      </c>
      <c r="E545" s="10"/>
      <c r="F545" s="16"/>
    </row>
    <row r="546" spans="1:6" ht="18.75" x14ac:dyDescent="0.3">
      <c r="A546" s="2"/>
      <c r="B546" s="15"/>
      <c r="C546" s="3"/>
      <c r="D546" s="50"/>
      <c r="E546" s="10"/>
      <c r="F546" s="17"/>
    </row>
    <row r="547" spans="1:6" ht="18.75" x14ac:dyDescent="0.3">
      <c r="A547" s="2"/>
      <c r="B547" s="12"/>
      <c r="C547" s="3"/>
      <c r="D547" s="50"/>
      <c r="E547" s="10"/>
      <c r="F547" s="10"/>
    </row>
    <row r="548" spans="1:6" ht="18.75" x14ac:dyDescent="0.3">
      <c r="A548" s="2"/>
      <c r="B548" s="12"/>
      <c r="C548" s="3"/>
      <c r="D548" s="50"/>
      <c r="E548" s="10"/>
      <c r="F548" s="10"/>
    </row>
    <row r="549" spans="1:6" ht="18.75" x14ac:dyDescent="0.3">
      <c r="A549" s="18"/>
      <c r="B549" s="19"/>
      <c r="C549" s="20"/>
      <c r="D549" s="13"/>
      <c r="E549" s="10"/>
      <c r="F549" s="10"/>
    </row>
    <row r="550" spans="1:6" ht="18.75" x14ac:dyDescent="0.3">
      <c r="A550" s="1" t="s">
        <v>10</v>
      </c>
      <c r="B550" s="1" t="s">
        <v>11</v>
      </c>
      <c r="C550" s="1" t="s">
        <v>12</v>
      </c>
      <c r="D550" s="1" t="s">
        <v>13</v>
      </c>
      <c r="E550" s="1" t="s">
        <v>14</v>
      </c>
      <c r="F550" s="10"/>
    </row>
    <row r="551" spans="1:6" ht="18.75" x14ac:dyDescent="0.3">
      <c r="A551" s="3" t="s">
        <v>16</v>
      </c>
      <c r="B551" s="4" t="s">
        <v>435</v>
      </c>
      <c r="C551" s="3">
        <v>387</v>
      </c>
      <c r="D551" s="58">
        <v>22446</v>
      </c>
      <c r="E551" s="3"/>
      <c r="F551" s="10"/>
    </row>
    <row r="552" spans="1:6" ht="18.75" x14ac:dyDescent="0.3">
      <c r="A552" s="3" t="s">
        <v>15</v>
      </c>
      <c r="B552" s="4" t="s">
        <v>435</v>
      </c>
      <c r="C552" s="3">
        <v>192</v>
      </c>
      <c r="D552" s="58">
        <v>11136</v>
      </c>
      <c r="E552" s="5"/>
      <c r="F552" s="10"/>
    </row>
    <row r="553" spans="1:6" ht="18.75" x14ac:dyDescent="0.3">
      <c r="A553" s="3" t="s">
        <v>42</v>
      </c>
      <c r="B553" s="4" t="s">
        <v>436</v>
      </c>
      <c r="C553" s="3">
        <v>333</v>
      </c>
      <c r="D553" s="58">
        <v>19314</v>
      </c>
      <c r="E553" s="5"/>
      <c r="F553" s="10"/>
    </row>
    <row r="554" spans="1:6" ht="18.75" x14ac:dyDescent="0.3">
      <c r="A554" s="3" t="s">
        <v>15</v>
      </c>
      <c r="B554" s="4" t="s">
        <v>437</v>
      </c>
      <c r="C554" s="5">
        <v>404</v>
      </c>
      <c r="D554" s="58">
        <v>34744</v>
      </c>
      <c r="E554" s="3"/>
      <c r="F554" s="10"/>
    </row>
    <row r="555" spans="1:6" ht="18.75" x14ac:dyDescent="0.3">
      <c r="A555" s="6" t="s">
        <v>16</v>
      </c>
      <c r="B555" s="4" t="s">
        <v>437</v>
      </c>
      <c r="C555" s="3">
        <v>387</v>
      </c>
      <c r="D555" s="58">
        <v>33282</v>
      </c>
      <c r="E555" s="5"/>
      <c r="F555" s="10"/>
    </row>
    <row r="556" spans="1:6" ht="18.75" x14ac:dyDescent="0.3">
      <c r="A556" s="6" t="s">
        <v>379</v>
      </c>
      <c r="B556" s="4" t="s">
        <v>438</v>
      </c>
      <c r="C556" s="6">
        <v>1110</v>
      </c>
      <c r="D556" s="58">
        <v>66600</v>
      </c>
      <c r="E556" s="5"/>
      <c r="F556" s="10"/>
    </row>
    <row r="557" spans="1:6" ht="18.75" x14ac:dyDescent="0.3">
      <c r="A557" s="3" t="s">
        <v>17</v>
      </c>
      <c r="B557" s="4" t="s">
        <v>439</v>
      </c>
      <c r="C557" s="3">
        <v>1110</v>
      </c>
      <c r="D557" s="58">
        <v>71040</v>
      </c>
      <c r="E557" s="5"/>
      <c r="F557" s="10"/>
    </row>
    <row r="558" spans="1:6" ht="18.75" x14ac:dyDescent="0.3">
      <c r="A558" s="3" t="s">
        <v>185</v>
      </c>
      <c r="B558" s="4" t="s">
        <v>440</v>
      </c>
      <c r="C558" s="3">
        <v>1110</v>
      </c>
      <c r="D558" s="58">
        <v>80124</v>
      </c>
      <c r="E558" s="3"/>
      <c r="F558" s="10"/>
    </row>
    <row r="559" spans="1:6" ht="18.75" x14ac:dyDescent="0.3">
      <c r="A559" s="3" t="s">
        <v>104</v>
      </c>
      <c r="B559" s="4" t="s">
        <v>448</v>
      </c>
      <c r="C559" s="3">
        <v>1110</v>
      </c>
      <c r="D559" s="58">
        <v>47730</v>
      </c>
      <c r="E559" s="3"/>
      <c r="F559" s="10"/>
    </row>
    <row r="560" spans="1:6" ht="18.75" x14ac:dyDescent="0.3">
      <c r="A560" s="3" t="s">
        <v>42</v>
      </c>
      <c r="B560" s="4" t="s">
        <v>449</v>
      </c>
      <c r="C560" s="3">
        <v>777</v>
      </c>
      <c r="D560" s="58">
        <v>69153</v>
      </c>
      <c r="E560" s="3"/>
      <c r="F560" s="10"/>
    </row>
    <row r="561" spans="1:6" ht="18.75" x14ac:dyDescent="0.3">
      <c r="A561" s="3" t="s">
        <v>379</v>
      </c>
      <c r="B561" s="4" t="s">
        <v>450</v>
      </c>
      <c r="C561" s="3">
        <v>333</v>
      </c>
      <c r="D561" s="58">
        <v>29637</v>
      </c>
      <c r="E561" s="3"/>
      <c r="F561" s="10"/>
    </row>
    <row r="562" spans="1:6" ht="18.75" x14ac:dyDescent="0.3">
      <c r="A562" s="3" t="s">
        <v>17</v>
      </c>
      <c r="B562" s="4" t="s">
        <v>439</v>
      </c>
      <c r="C562" s="3">
        <v>1110</v>
      </c>
      <c r="D562" s="58">
        <v>73260</v>
      </c>
      <c r="E562" s="3"/>
      <c r="F562" s="10"/>
    </row>
    <row r="563" spans="1:6" ht="18.75" x14ac:dyDescent="0.3">
      <c r="A563" s="3" t="s">
        <v>15</v>
      </c>
      <c r="B563" s="4" t="s">
        <v>451</v>
      </c>
      <c r="C563" s="3">
        <v>333</v>
      </c>
      <c r="D563" s="5">
        <v>28638</v>
      </c>
      <c r="E563" s="3" t="s">
        <v>249</v>
      </c>
      <c r="F563" s="10"/>
    </row>
    <row r="564" spans="1:6" ht="18.75" x14ac:dyDescent="0.3">
      <c r="A564" s="3" t="s">
        <v>104</v>
      </c>
      <c r="B564" s="4" t="s">
        <v>453</v>
      </c>
      <c r="C564" s="3">
        <v>212</v>
      </c>
      <c r="D564" s="5">
        <v>12296</v>
      </c>
      <c r="E564" s="3"/>
      <c r="F564" s="10"/>
    </row>
    <row r="565" spans="1:6" ht="18.75" x14ac:dyDescent="0.3">
      <c r="A565" s="3"/>
      <c r="B565" s="4"/>
      <c r="C565" s="3"/>
      <c r="D565" s="5"/>
      <c r="E565" s="3"/>
      <c r="F565" s="10"/>
    </row>
    <row r="566" spans="1:6" ht="18.75" x14ac:dyDescent="0.3">
      <c r="A566" s="3"/>
      <c r="B566" s="4"/>
      <c r="C566" s="5"/>
      <c r="D566" s="5"/>
      <c r="E566" s="3"/>
      <c r="F566" s="10"/>
    </row>
    <row r="567" spans="1:6" ht="18.75" x14ac:dyDescent="0.3">
      <c r="A567" s="3"/>
      <c r="B567" s="4"/>
      <c r="C567" s="5"/>
      <c r="D567" s="5"/>
      <c r="E567" s="3"/>
    </row>
    <row r="568" spans="1:6" ht="18.75" x14ac:dyDescent="0.3">
      <c r="A568" s="3"/>
      <c r="B568" s="4"/>
      <c r="C568" s="5"/>
      <c r="D568" s="5"/>
      <c r="E568" s="3"/>
    </row>
    <row r="569" spans="1:6" ht="18.75" x14ac:dyDescent="0.3">
      <c r="A569" s="3"/>
      <c r="B569" s="4"/>
      <c r="C569" s="5"/>
      <c r="D569" s="5"/>
      <c r="E569" s="3"/>
    </row>
    <row r="570" spans="1:6" ht="18.75" x14ac:dyDescent="0.3">
      <c r="A570" s="3"/>
      <c r="B570" s="4"/>
      <c r="C570" s="5"/>
      <c r="D570" s="5"/>
      <c r="E570" s="3"/>
    </row>
    <row r="571" spans="1:6" ht="18.75" x14ac:dyDescent="0.3">
      <c r="A571" s="3"/>
      <c r="B571" s="4"/>
      <c r="C571" s="5"/>
      <c r="D571" s="5"/>
      <c r="E571" s="3"/>
    </row>
    <row r="572" spans="1:6" ht="18.75" x14ac:dyDescent="0.3">
      <c r="A572" s="3"/>
      <c r="B572" s="4"/>
      <c r="C572" s="5"/>
      <c r="D572" s="5"/>
    </row>
    <row r="573" spans="1:6" ht="18.75" x14ac:dyDescent="0.3">
      <c r="A573" s="3"/>
      <c r="B573" s="4"/>
      <c r="C573" s="5"/>
      <c r="D573" s="5"/>
    </row>
    <row r="577" spans="1:7" ht="18.75" x14ac:dyDescent="0.3">
      <c r="A577" s="35" t="s">
        <v>0</v>
      </c>
      <c r="B577" s="35" t="s">
        <v>1</v>
      </c>
      <c r="C577" s="35" t="s">
        <v>2</v>
      </c>
      <c r="D577" s="35" t="s">
        <v>3</v>
      </c>
      <c r="E577" s="35" t="s">
        <v>4</v>
      </c>
      <c r="F577" s="35" t="s">
        <v>5</v>
      </c>
      <c r="G577" s="35" t="s">
        <v>6</v>
      </c>
    </row>
    <row r="578" spans="1:7" ht="18.75" x14ac:dyDescent="0.3">
      <c r="A578" s="22">
        <v>1802</v>
      </c>
      <c r="B578" s="22" t="s">
        <v>19</v>
      </c>
      <c r="C578" s="23" t="s">
        <v>454</v>
      </c>
      <c r="D578" s="24">
        <v>800</v>
      </c>
      <c r="E578" s="22">
        <v>1100</v>
      </c>
      <c r="F578" s="25" t="s">
        <v>151</v>
      </c>
      <c r="G578" s="26">
        <f>D578*E578</f>
        <v>880000</v>
      </c>
    </row>
    <row r="579" spans="1:7" ht="18.75" x14ac:dyDescent="0.3">
      <c r="A579" s="1" t="s">
        <v>7</v>
      </c>
      <c r="B579" s="7">
        <v>6.6</v>
      </c>
      <c r="C579" s="48" t="s">
        <v>3</v>
      </c>
      <c r="D579" s="48" t="s">
        <v>8</v>
      </c>
      <c r="E579" s="46">
        <v>528000</v>
      </c>
      <c r="F579" s="10"/>
      <c r="G579" s="11">
        <v>352000</v>
      </c>
    </row>
    <row r="580" spans="1:7" ht="18.75" x14ac:dyDescent="0.3">
      <c r="A580" s="2" t="s">
        <v>174</v>
      </c>
      <c r="B580" s="12">
        <v>58</v>
      </c>
      <c r="C580" s="5">
        <v>800</v>
      </c>
      <c r="D580" s="50">
        <f t="shared" ref="D580:D589" si="14">B580*C580</f>
        <v>46400</v>
      </c>
      <c r="E580" s="21">
        <v>0.6</v>
      </c>
      <c r="F580" s="10"/>
      <c r="G580" s="21">
        <v>0.4</v>
      </c>
    </row>
    <row r="581" spans="1:7" ht="18.75" x14ac:dyDescent="0.3">
      <c r="A581" s="2" t="s">
        <v>257</v>
      </c>
      <c r="B581" s="12">
        <v>86</v>
      </c>
      <c r="C581" s="3">
        <v>800</v>
      </c>
      <c r="D581" s="50">
        <f t="shared" si="14"/>
        <v>68800</v>
      </c>
      <c r="E581" s="10"/>
      <c r="F581" s="10"/>
      <c r="G581" s="10"/>
    </row>
    <row r="582" spans="1:7" ht="18.75" x14ac:dyDescent="0.3">
      <c r="A582" s="2" t="s">
        <v>46</v>
      </c>
      <c r="B582" s="12">
        <v>89</v>
      </c>
      <c r="C582" s="3">
        <v>200</v>
      </c>
      <c r="D582" s="50">
        <f t="shared" si="14"/>
        <v>17800</v>
      </c>
      <c r="E582" s="10"/>
      <c r="F582" s="10"/>
      <c r="G582" s="10"/>
    </row>
    <row r="583" spans="1:7" ht="18.75" x14ac:dyDescent="0.3">
      <c r="A583" s="2" t="s">
        <v>70</v>
      </c>
      <c r="B583" s="12">
        <v>64</v>
      </c>
      <c r="C583" s="5">
        <v>800</v>
      </c>
      <c r="D583" s="50">
        <f t="shared" si="14"/>
        <v>51200</v>
      </c>
      <c r="E583" s="10"/>
      <c r="F583" s="10"/>
      <c r="G583" s="10"/>
    </row>
    <row r="584" spans="1:7" ht="18.75" x14ac:dyDescent="0.3">
      <c r="A584" s="2" t="s">
        <v>61</v>
      </c>
      <c r="B584" s="12">
        <v>66</v>
      </c>
      <c r="C584" s="3">
        <v>800</v>
      </c>
      <c r="D584" s="50">
        <f t="shared" si="14"/>
        <v>52800</v>
      </c>
      <c r="E584" s="10"/>
      <c r="F584" s="10"/>
      <c r="G584" s="14">
        <f>E579-D594-D595-D596-D597-D598-D599-D600-D601-D602-D603-D604-D605-D606-D607-D608-D609-D610-D611-D612-D613-D614-D615-D616-D616</f>
        <v>0</v>
      </c>
    </row>
    <row r="585" spans="1:7" ht="18.75" x14ac:dyDescent="0.3">
      <c r="A585" s="2" t="s">
        <v>460</v>
      </c>
      <c r="B585" s="12">
        <v>200</v>
      </c>
      <c r="C585" s="3">
        <v>800</v>
      </c>
      <c r="D585" s="50">
        <f t="shared" si="14"/>
        <v>160000</v>
      </c>
      <c r="E585" s="10"/>
      <c r="F585" s="10"/>
      <c r="G585" s="10"/>
    </row>
    <row r="586" spans="1:7" ht="18.75" x14ac:dyDescent="0.3">
      <c r="A586" s="2" t="s">
        <v>461</v>
      </c>
      <c r="B586" s="12">
        <v>60</v>
      </c>
      <c r="C586" s="3">
        <v>800</v>
      </c>
      <c r="D586" s="50">
        <f t="shared" si="14"/>
        <v>48000</v>
      </c>
      <c r="E586" s="10"/>
      <c r="F586" s="10"/>
    </row>
    <row r="587" spans="1:7" ht="18.75" x14ac:dyDescent="0.3">
      <c r="A587" s="2" t="s">
        <v>41</v>
      </c>
      <c r="B587" s="15">
        <v>37</v>
      </c>
      <c r="C587" s="3">
        <v>800</v>
      </c>
      <c r="D587" s="50">
        <f t="shared" si="14"/>
        <v>29600</v>
      </c>
      <c r="E587" s="10"/>
      <c r="F587" s="10"/>
    </row>
    <row r="588" spans="1:7" ht="18.75" x14ac:dyDescent="0.3">
      <c r="A588" s="2"/>
      <c r="B588" s="15"/>
      <c r="C588" s="3"/>
      <c r="D588" s="50">
        <f t="shared" si="14"/>
        <v>0</v>
      </c>
      <c r="E588" s="10"/>
      <c r="F588" s="16"/>
    </row>
    <row r="589" spans="1:7" ht="18.75" x14ac:dyDescent="0.3">
      <c r="A589" s="2"/>
      <c r="B589" s="15"/>
      <c r="C589" s="3"/>
      <c r="D589" s="50">
        <f t="shared" si="14"/>
        <v>0</v>
      </c>
      <c r="E589" s="10"/>
      <c r="F589" s="17"/>
    </row>
    <row r="590" spans="1:7" ht="18.75" x14ac:dyDescent="0.3">
      <c r="A590" s="2"/>
      <c r="B590" s="12"/>
      <c r="C590" s="3"/>
      <c r="D590" s="50"/>
      <c r="E590" s="10"/>
      <c r="F590" s="10"/>
    </row>
    <row r="591" spans="1:7" ht="18.75" x14ac:dyDescent="0.3">
      <c r="A591" s="2"/>
      <c r="B591" s="12"/>
      <c r="C591" s="3"/>
      <c r="D591" s="50"/>
      <c r="E591" s="10"/>
      <c r="F591" s="10"/>
    </row>
    <row r="592" spans="1:7" ht="18.75" x14ac:dyDescent="0.3">
      <c r="A592" s="18"/>
      <c r="B592" s="19"/>
      <c r="C592" s="20"/>
      <c r="D592" s="13"/>
      <c r="E592" s="10"/>
      <c r="F592" s="10"/>
    </row>
    <row r="593" spans="1:6" ht="18.75" x14ac:dyDescent="0.3">
      <c r="A593" s="1" t="s">
        <v>10</v>
      </c>
      <c r="B593" s="1" t="s">
        <v>11</v>
      </c>
      <c r="C593" s="1" t="s">
        <v>12</v>
      </c>
      <c r="D593" s="1" t="s">
        <v>13</v>
      </c>
      <c r="E593" s="1" t="s">
        <v>14</v>
      </c>
      <c r="F593" s="10"/>
    </row>
    <row r="594" spans="1:6" ht="18.75" x14ac:dyDescent="0.3">
      <c r="A594" s="3" t="s">
        <v>17</v>
      </c>
      <c r="B594" s="4" t="s">
        <v>455</v>
      </c>
      <c r="C594" s="3">
        <v>800</v>
      </c>
      <c r="D594" s="58">
        <v>51200</v>
      </c>
      <c r="E594" s="3"/>
      <c r="F594" s="10"/>
    </row>
    <row r="595" spans="1:6" ht="18.75" x14ac:dyDescent="0.3">
      <c r="A595" s="3" t="s">
        <v>17</v>
      </c>
      <c r="B595" s="4" t="s">
        <v>456</v>
      </c>
      <c r="C595" s="3">
        <v>800</v>
      </c>
      <c r="D595" s="58">
        <v>52800</v>
      </c>
      <c r="E595" s="5"/>
      <c r="F595" s="10"/>
    </row>
    <row r="596" spans="1:6" ht="18.75" x14ac:dyDescent="0.3">
      <c r="A596" s="3" t="s">
        <v>16</v>
      </c>
      <c r="B596" s="4" t="s">
        <v>457</v>
      </c>
      <c r="C596" s="3">
        <v>200</v>
      </c>
      <c r="D596" s="58">
        <v>11600</v>
      </c>
      <c r="E596" s="5"/>
      <c r="F596" s="10"/>
    </row>
    <row r="597" spans="1:6" ht="18.75" x14ac:dyDescent="0.3">
      <c r="A597" s="3" t="s">
        <v>16</v>
      </c>
      <c r="B597" s="4" t="s">
        <v>458</v>
      </c>
      <c r="C597" s="5">
        <v>200</v>
      </c>
      <c r="D597" s="58">
        <v>17200</v>
      </c>
      <c r="E597" s="3"/>
      <c r="F597" s="10"/>
    </row>
    <row r="598" spans="1:6" ht="18.75" x14ac:dyDescent="0.3">
      <c r="A598" s="6" t="s">
        <v>113</v>
      </c>
      <c r="B598" s="4" t="s">
        <v>459</v>
      </c>
      <c r="C598" s="3">
        <v>200</v>
      </c>
      <c r="D598" s="58">
        <v>17800</v>
      </c>
      <c r="E598" s="5"/>
      <c r="F598" s="10"/>
    </row>
    <row r="599" spans="1:6" ht="18.75" x14ac:dyDescent="0.3">
      <c r="A599" s="3" t="s">
        <v>42</v>
      </c>
      <c r="B599" s="4" t="s">
        <v>473</v>
      </c>
      <c r="C599" s="3">
        <v>200</v>
      </c>
      <c r="D599" s="58">
        <v>17800</v>
      </c>
      <c r="E599" s="5"/>
      <c r="F599" s="10"/>
    </row>
    <row r="600" spans="1:6" ht="18.75" x14ac:dyDescent="0.3">
      <c r="A600" s="3" t="s">
        <v>42</v>
      </c>
      <c r="B600" s="4" t="s">
        <v>474</v>
      </c>
      <c r="C600" s="3">
        <v>200</v>
      </c>
      <c r="D600" s="58">
        <v>17800</v>
      </c>
      <c r="E600" s="5"/>
      <c r="F600" s="10"/>
    </row>
    <row r="601" spans="1:6" ht="18.75" x14ac:dyDescent="0.3">
      <c r="A601" s="3" t="s">
        <v>16</v>
      </c>
      <c r="B601" s="4" t="s">
        <v>475</v>
      </c>
      <c r="C601" s="3">
        <v>200</v>
      </c>
      <c r="D601" s="58">
        <v>11600</v>
      </c>
      <c r="E601" s="3"/>
      <c r="F601" s="10"/>
    </row>
    <row r="602" spans="1:6" ht="18.75" x14ac:dyDescent="0.3">
      <c r="A602" s="3" t="s">
        <v>16</v>
      </c>
      <c r="B602" s="4" t="s">
        <v>476</v>
      </c>
      <c r="C602" s="5">
        <v>200</v>
      </c>
      <c r="D602" s="58">
        <v>17200</v>
      </c>
      <c r="E602" s="3"/>
      <c r="F602" s="10"/>
    </row>
    <row r="603" spans="1:6" ht="18.75" x14ac:dyDescent="0.3">
      <c r="A603" s="3" t="s">
        <v>16</v>
      </c>
      <c r="B603" s="4" t="s">
        <v>477</v>
      </c>
      <c r="C603" s="3">
        <v>200</v>
      </c>
      <c r="D603" s="58">
        <v>17800</v>
      </c>
      <c r="E603" s="3"/>
      <c r="F603" s="10"/>
    </row>
    <row r="604" spans="1:6" ht="18.75" x14ac:dyDescent="0.3">
      <c r="A604" s="3" t="s">
        <v>332</v>
      </c>
      <c r="B604" s="4" t="s">
        <v>478</v>
      </c>
      <c r="C604" s="3">
        <v>800</v>
      </c>
      <c r="D604" s="58">
        <v>160000</v>
      </c>
      <c r="E604" s="3"/>
      <c r="F604" s="10"/>
    </row>
    <row r="605" spans="1:6" ht="18.75" x14ac:dyDescent="0.3">
      <c r="A605" s="3" t="s">
        <v>113</v>
      </c>
      <c r="B605" s="4" t="s">
        <v>479</v>
      </c>
      <c r="C605" s="3">
        <v>800</v>
      </c>
      <c r="D605" s="58">
        <v>48000</v>
      </c>
      <c r="E605" s="3"/>
      <c r="F605" s="10"/>
    </row>
    <row r="606" spans="1:6" ht="18.75" x14ac:dyDescent="0.3">
      <c r="A606" s="3" t="s">
        <v>185</v>
      </c>
      <c r="B606" s="4" t="s">
        <v>480</v>
      </c>
      <c r="C606" s="3">
        <v>800</v>
      </c>
      <c r="D606" s="5">
        <v>29600</v>
      </c>
      <c r="E606" s="3" t="s">
        <v>249</v>
      </c>
      <c r="F606" s="10"/>
    </row>
    <row r="607" spans="1:6" ht="18.75" x14ac:dyDescent="0.3">
      <c r="A607" s="3" t="s">
        <v>15</v>
      </c>
      <c r="B607" s="4" t="s">
        <v>481</v>
      </c>
      <c r="C607" s="3">
        <v>200</v>
      </c>
      <c r="D607" s="5">
        <v>11600</v>
      </c>
      <c r="E607" s="3"/>
      <c r="F607" s="10"/>
    </row>
    <row r="608" spans="1:6" ht="18.75" x14ac:dyDescent="0.3">
      <c r="A608" s="3" t="s">
        <v>15</v>
      </c>
      <c r="B608" s="4" t="s">
        <v>482</v>
      </c>
      <c r="C608" s="3">
        <v>200</v>
      </c>
      <c r="D608" s="5">
        <v>17200</v>
      </c>
      <c r="E608" s="3"/>
      <c r="F608" s="10"/>
    </row>
    <row r="609" spans="1:7" ht="18.75" x14ac:dyDescent="0.3">
      <c r="A609" s="3" t="s">
        <v>15</v>
      </c>
      <c r="B609" s="4" t="s">
        <v>483</v>
      </c>
      <c r="C609" s="5">
        <v>200</v>
      </c>
      <c r="D609" s="5">
        <v>11600</v>
      </c>
      <c r="E609" s="3"/>
      <c r="F609" s="10"/>
    </row>
    <row r="610" spans="1:7" ht="18.75" x14ac:dyDescent="0.3">
      <c r="A610" s="3" t="s">
        <v>15</v>
      </c>
      <c r="B610" s="4" t="s">
        <v>484</v>
      </c>
      <c r="C610" s="5">
        <v>200</v>
      </c>
      <c r="D610" s="5">
        <v>17200</v>
      </c>
      <c r="E610" s="3"/>
    </row>
    <row r="611" spans="1:7" ht="18.75" x14ac:dyDescent="0.3">
      <c r="A611" s="3"/>
      <c r="B611" s="4"/>
      <c r="C611" s="5"/>
      <c r="D611" s="5"/>
      <c r="E611" s="3"/>
    </row>
    <row r="612" spans="1:7" ht="18.75" x14ac:dyDescent="0.3">
      <c r="A612" s="3"/>
      <c r="B612" s="4"/>
      <c r="C612" s="5"/>
      <c r="D612" s="5"/>
      <c r="E612" s="3"/>
    </row>
    <row r="613" spans="1:7" ht="18.75" x14ac:dyDescent="0.3">
      <c r="A613" s="3"/>
      <c r="B613" s="4"/>
      <c r="C613" s="5"/>
      <c r="D613" s="5"/>
      <c r="E613" s="3"/>
    </row>
    <row r="614" spans="1:7" ht="18.75" x14ac:dyDescent="0.3">
      <c r="A614" s="3"/>
      <c r="B614" s="4"/>
      <c r="C614" s="5"/>
      <c r="D614" s="5"/>
      <c r="E614" s="3"/>
    </row>
    <row r="615" spans="1:7" ht="18.75" x14ac:dyDescent="0.3">
      <c r="A615" s="3"/>
      <c r="B615" s="4"/>
      <c r="C615" s="5"/>
      <c r="D615" s="5"/>
    </row>
    <row r="616" spans="1:7" ht="18.75" x14ac:dyDescent="0.3">
      <c r="A616" s="3"/>
      <c r="B616" s="4"/>
      <c r="C616" s="5"/>
      <c r="D616" s="5"/>
    </row>
    <row r="620" spans="1:7" ht="18.75" x14ac:dyDescent="0.3">
      <c r="A620" s="35" t="s">
        <v>0</v>
      </c>
      <c r="B620" s="35" t="s">
        <v>1</v>
      </c>
      <c r="C620" s="35" t="s">
        <v>2</v>
      </c>
      <c r="D620" s="35" t="s">
        <v>3</v>
      </c>
      <c r="E620" s="35" t="s">
        <v>4</v>
      </c>
      <c r="F620" s="35" t="s">
        <v>5</v>
      </c>
      <c r="G620" s="35" t="s">
        <v>6</v>
      </c>
    </row>
    <row r="621" spans="1:7" ht="18.75" x14ac:dyDescent="0.3">
      <c r="A621" s="22">
        <v>1803</v>
      </c>
      <c r="B621" s="22" t="s">
        <v>19</v>
      </c>
      <c r="C621" s="23" t="s">
        <v>170</v>
      </c>
      <c r="D621" s="24">
        <v>2870</v>
      </c>
      <c r="E621" s="22">
        <v>900</v>
      </c>
      <c r="F621" s="25" t="s">
        <v>507</v>
      </c>
      <c r="G621" s="26">
        <f>D621*E621</f>
        <v>2583000</v>
      </c>
    </row>
    <row r="622" spans="1:7" ht="18.75" x14ac:dyDescent="0.3">
      <c r="A622" s="1" t="s">
        <v>7</v>
      </c>
      <c r="B622" s="7">
        <v>5.4</v>
      </c>
      <c r="C622" s="48" t="s">
        <v>3</v>
      </c>
      <c r="D622" s="48" t="s">
        <v>8</v>
      </c>
      <c r="E622" s="46">
        <v>1549800</v>
      </c>
      <c r="F622" s="10"/>
      <c r="G622" s="11">
        <v>1033200</v>
      </c>
    </row>
    <row r="623" spans="1:7" ht="18.75" x14ac:dyDescent="0.3">
      <c r="A623" s="2" t="s">
        <v>335</v>
      </c>
      <c r="B623" s="12">
        <v>80</v>
      </c>
      <c r="C623" s="5">
        <v>846</v>
      </c>
      <c r="D623" s="50">
        <f>B623*C623</f>
        <v>67680</v>
      </c>
      <c r="E623" s="21">
        <v>0.6</v>
      </c>
      <c r="F623" s="10"/>
      <c r="G623" s="21">
        <v>0.4</v>
      </c>
    </row>
    <row r="624" spans="1:7" ht="18.75" x14ac:dyDescent="0.3">
      <c r="A624" s="2" t="s">
        <v>363</v>
      </c>
      <c r="B624" s="12">
        <v>64</v>
      </c>
      <c r="C624" s="3">
        <v>1030</v>
      </c>
      <c r="D624" s="50">
        <f t="shared" ref="D624:D633" si="15">B624*C624</f>
        <v>65920</v>
      </c>
      <c r="E624" s="10"/>
      <c r="F624" s="10"/>
      <c r="G624" s="10"/>
    </row>
    <row r="625" spans="1:7" ht="18.75" x14ac:dyDescent="0.3">
      <c r="A625" s="2" t="s">
        <v>61</v>
      </c>
      <c r="B625" s="12">
        <v>68</v>
      </c>
      <c r="C625" s="3">
        <v>2870</v>
      </c>
      <c r="D625" s="50">
        <f t="shared" si="15"/>
        <v>195160</v>
      </c>
      <c r="E625" s="10"/>
      <c r="F625" s="10"/>
      <c r="G625" s="10"/>
    </row>
    <row r="626" spans="1:7" ht="18.75" x14ac:dyDescent="0.3">
      <c r="A626" s="2" t="s">
        <v>337</v>
      </c>
      <c r="B626" s="12">
        <v>55</v>
      </c>
      <c r="C626" s="5">
        <v>2870</v>
      </c>
      <c r="D626" s="50">
        <f t="shared" si="15"/>
        <v>157850</v>
      </c>
      <c r="E626" s="10"/>
      <c r="F626" s="10"/>
      <c r="G626" s="10"/>
    </row>
    <row r="627" spans="1:7" ht="18.75" x14ac:dyDescent="0.3">
      <c r="A627" s="2" t="s">
        <v>89</v>
      </c>
      <c r="B627" s="12">
        <v>60</v>
      </c>
      <c r="C627" s="3">
        <v>2870</v>
      </c>
      <c r="D627" s="50">
        <f t="shared" si="15"/>
        <v>172200</v>
      </c>
      <c r="E627" s="10"/>
      <c r="F627" s="10"/>
      <c r="G627" s="14">
        <f>E622-D637-D638-D639-D640-D641-D642-D643-D644-D645-D646-D647-D648-D649-D650-D651-D652-D653-D654-D655-D656-D657-D658-D659-D659</f>
        <v>0</v>
      </c>
    </row>
    <row r="628" spans="1:7" ht="18.75" x14ac:dyDescent="0.3">
      <c r="A628" s="2" t="s">
        <v>338</v>
      </c>
      <c r="B628" s="12">
        <v>43</v>
      </c>
      <c r="C628" s="3">
        <v>2870</v>
      </c>
      <c r="D628" s="50">
        <f t="shared" si="15"/>
        <v>123410</v>
      </c>
      <c r="E628" s="10"/>
      <c r="F628" s="10"/>
      <c r="G628" s="10"/>
    </row>
    <row r="629" spans="1:7" ht="18.75" x14ac:dyDescent="0.3">
      <c r="A629" s="2" t="s">
        <v>339</v>
      </c>
      <c r="B629" s="12">
        <v>65</v>
      </c>
      <c r="C629" s="3">
        <v>2870</v>
      </c>
      <c r="D629" s="50">
        <f t="shared" si="15"/>
        <v>186550</v>
      </c>
      <c r="E629" s="10"/>
      <c r="F629" s="10"/>
    </row>
    <row r="630" spans="1:7" ht="18.75" x14ac:dyDescent="0.3">
      <c r="A630" s="2" t="s">
        <v>41</v>
      </c>
      <c r="B630" s="15">
        <v>105</v>
      </c>
      <c r="C630" s="3">
        <v>2870</v>
      </c>
      <c r="D630" s="50">
        <f t="shared" si="15"/>
        <v>301350</v>
      </c>
      <c r="E630" s="10"/>
      <c r="F630" s="10"/>
    </row>
    <row r="631" spans="1:7" ht="18.75" x14ac:dyDescent="0.3">
      <c r="A631" s="2"/>
      <c r="B631" s="15"/>
      <c r="C631" s="3"/>
      <c r="D631" s="50">
        <f t="shared" si="15"/>
        <v>0</v>
      </c>
      <c r="E631" s="10"/>
      <c r="F631" s="16"/>
    </row>
    <row r="632" spans="1:7" ht="18.75" x14ac:dyDescent="0.3">
      <c r="A632" s="2"/>
      <c r="B632" s="15"/>
      <c r="C632" s="3"/>
      <c r="D632" s="50">
        <f t="shared" si="15"/>
        <v>0</v>
      </c>
      <c r="E632" s="10"/>
      <c r="F632" s="17"/>
    </row>
    <row r="633" spans="1:7" ht="18.75" x14ac:dyDescent="0.3">
      <c r="A633" s="2"/>
      <c r="B633" s="12"/>
      <c r="C633" s="3"/>
      <c r="D633" s="50">
        <f t="shared" si="15"/>
        <v>0</v>
      </c>
      <c r="E633" s="10"/>
      <c r="F633" s="10"/>
    </row>
    <row r="634" spans="1:7" ht="18.75" x14ac:dyDescent="0.3">
      <c r="A634" s="2"/>
      <c r="B634" s="12"/>
      <c r="C634" s="3"/>
      <c r="D634" s="50"/>
      <c r="E634" s="10"/>
      <c r="F634" s="10"/>
    </row>
    <row r="635" spans="1:7" ht="18.75" x14ac:dyDescent="0.3">
      <c r="A635" s="18"/>
      <c r="B635" s="19"/>
      <c r="C635" s="20"/>
      <c r="D635" s="13"/>
      <c r="E635" s="10"/>
      <c r="F635" s="10"/>
    </row>
    <row r="636" spans="1:7" ht="18.75" x14ac:dyDescent="0.3">
      <c r="A636" s="1" t="s">
        <v>10</v>
      </c>
      <c r="B636" s="1" t="s">
        <v>11</v>
      </c>
      <c r="C636" s="1" t="s">
        <v>12</v>
      </c>
      <c r="D636" s="1" t="s">
        <v>13</v>
      </c>
      <c r="E636" s="1" t="s">
        <v>14</v>
      </c>
      <c r="F636" s="10"/>
    </row>
    <row r="637" spans="1:7" ht="18.75" x14ac:dyDescent="0.3">
      <c r="A637" s="3" t="s">
        <v>42</v>
      </c>
      <c r="B637" s="4" t="s">
        <v>511</v>
      </c>
      <c r="C637" s="3">
        <v>920</v>
      </c>
      <c r="D637" s="58">
        <v>73600</v>
      </c>
      <c r="E637" s="3">
        <v>220000</v>
      </c>
      <c r="F637" s="10"/>
    </row>
    <row r="638" spans="1:7" ht="18.75" x14ac:dyDescent="0.3">
      <c r="A638" s="3" t="s">
        <v>508</v>
      </c>
      <c r="B638" s="4" t="s">
        <v>512</v>
      </c>
      <c r="C638" s="3">
        <v>920</v>
      </c>
      <c r="D638" s="58">
        <v>73600</v>
      </c>
      <c r="E638" s="5"/>
      <c r="F638" s="10"/>
    </row>
    <row r="639" spans="1:7" ht="18.75" x14ac:dyDescent="0.3">
      <c r="A639" s="3" t="s">
        <v>42</v>
      </c>
      <c r="B639" s="4" t="s">
        <v>513</v>
      </c>
      <c r="C639" s="3">
        <v>2870</v>
      </c>
      <c r="D639" s="58">
        <v>172200</v>
      </c>
      <c r="E639" s="5"/>
      <c r="F639" s="10"/>
    </row>
    <row r="640" spans="1:7" ht="18.75" x14ac:dyDescent="0.3">
      <c r="A640" s="3" t="s">
        <v>104</v>
      </c>
      <c r="B640" s="4" t="s">
        <v>515</v>
      </c>
      <c r="C640" s="5">
        <v>2870</v>
      </c>
      <c r="D640" s="58">
        <v>123410</v>
      </c>
      <c r="E640" s="3"/>
      <c r="F640" s="10"/>
    </row>
    <row r="641" spans="1:6" ht="18.75" x14ac:dyDescent="0.3">
      <c r="A641" s="6" t="s">
        <v>15</v>
      </c>
      <c r="B641" s="4" t="s">
        <v>514</v>
      </c>
      <c r="C641" s="3">
        <v>846</v>
      </c>
      <c r="D641" s="58">
        <v>67680</v>
      </c>
      <c r="E641" s="5"/>
      <c r="F641" s="10"/>
    </row>
    <row r="642" spans="1:6" ht="18.75" x14ac:dyDescent="0.3">
      <c r="A642" s="3" t="s">
        <v>17</v>
      </c>
      <c r="B642" s="4" t="s">
        <v>516</v>
      </c>
      <c r="C642" s="3">
        <v>2870</v>
      </c>
      <c r="D642" s="58">
        <v>195160</v>
      </c>
      <c r="E642" s="5"/>
      <c r="F642" s="10"/>
    </row>
    <row r="643" spans="1:6" ht="18.75" x14ac:dyDescent="0.3">
      <c r="A643" s="3" t="s">
        <v>113</v>
      </c>
      <c r="B643" s="4" t="s">
        <v>517</v>
      </c>
      <c r="C643" s="3">
        <v>2870</v>
      </c>
      <c r="D643" s="58">
        <v>157850</v>
      </c>
      <c r="E643" s="5"/>
      <c r="F643" s="10"/>
    </row>
    <row r="644" spans="1:6" ht="18.75" x14ac:dyDescent="0.3">
      <c r="A644" s="3" t="s">
        <v>104</v>
      </c>
      <c r="B644" s="4" t="s">
        <v>518</v>
      </c>
      <c r="C644" s="3">
        <v>184</v>
      </c>
      <c r="D644" s="58">
        <v>15854</v>
      </c>
      <c r="E644" s="3"/>
      <c r="F644" s="10"/>
    </row>
    <row r="645" spans="1:6" ht="18.75" x14ac:dyDescent="0.3">
      <c r="A645" s="3" t="s">
        <v>508</v>
      </c>
      <c r="B645" s="4" t="s">
        <v>519</v>
      </c>
      <c r="C645" s="3">
        <v>920</v>
      </c>
      <c r="D645" s="58">
        <v>58880</v>
      </c>
      <c r="E645" s="3"/>
      <c r="F645" s="10"/>
    </row>
    <row r="646" spans="1:6" ht="18.75" x14ac:dyDescent="0.3">
      <c r="A646" s="3" t="s">
        <v>185</v>
      </c>
      <c r="B646" s="4" t="s">
        <v>520</v>
      </c>
      <c r="C646" s="3">
        <v>2870</v>
      </c>
      <c r="D646" s="58">
        <v>300216</v>
      </c>
      <c r="E646" s="3"/>
      <c r="F646" s="10"/>
    </row>
    <row r="647" spans="1:6" ht="18.75" x14ac:dyDescent="0.3">
      <c r="A647" s="3" t="s">
        <v>15</v>
      </c>
      <c r="B647" s="4" t="s">
        <v>526</v>
      </c>
      <c r="C647" s="3">
        <v>920</v>
      </c>
      <c r="D647" s="58">
        <v>58880</v>
      </c>
      <c r="E647" s="3"/>
      <c r="F647" s="10"/>
    </row>
    <row r="648" spans="1:6" ht="18.75" x14ac:dyDescent="0.3">
      <c r="A648" s="3" t="s">
        <v>15</v>
      </c>
      <c r="B648" s="4" t="s">
        <v>527</v>
      </c>
      <c r="C648" s="3">
        <v>1030</v>
      </c>
      <c r="D648" s="58">
        <v>65920</v>
      </c>
      <c r="E648" s="3"/>
      <c r="F648" s="10"/>
    </row>
    <row r="649" spans="1:6" ht="18.75" x14ac:dyDescent="0.3">
      <c r="A649" s="3" t="s">
        <v>29</v>
      </c>
      <c r="B649" s="4" t="s">
        <v>528</v>
      </c>
      <c r="C649" s="3">
        <v>697</v>
      </c>
      <c r="D649" s="5">
        <v>45305</v>
      </c>
      <c r="E649" s="3" t="s">
        <v>249</v>
      </c>
      <c r="F649" s="10"/>
    </row>
    <row r="650" spans="1:6" ht="18.75" x14ac:dyDescent="0.3">
      <c r="A650" s="3" t="s">
        <v>379</v>
      </c>
      <c r="B650" s="4" t="s">
        <v>528</v>
      </c>
      <c r="C650" s="3">
        <v>2173</v>
      </c>
      <c r="D650" s="5">
        <v>141245</v>
      </c>
      <c r="E650" s="3"/>
      <c r="F650" s="10"/>
    </row>
    <row r="651" spans="1:6" ht="18.75" x14ac:dyDescent="0.3">
      <c r="A651" s="3"/>
      <c r="B651" s="4"/>
      <c r="C651" s="3"/>
      <c r="D651" s="5"/>
      <c r="E651" s="3"/>
      <c r="F651" s="10"/>
    </row>
    <row r="652" spans="1:6" ht="18.75" x14ac:dyDescent="0.3">
      <c r="A652" s="3"/>
      <c r="B652" s="4"/>
      <c r="C652" s="5"/>
      <c r="D652" s="5"/>
      <c r="E652" s="3"/>
      <c r="F652" s="10"/>
    </row>
    <row r="653" spans="1:6" ht="18.75" x14ac:dyDescent="0.3">
      <c r="A653" s="3"/>
      <c r="B653" s="4"/>
      <c r="C653" s="5"/>
      <c r="D653" s="5"/>
      <c r="E653" s="3"/>
    </row>
    <row r="654" spans="1:6" ht="18.75" x14ac:dyDescent="0.3">
      <c r="A654" s="3"/>
      <c r="B654" s="4"/>
      <c r="C654" s="5"/>
      <c r="D654" s="5"/>
      <c r="E654" s="3"/>
    </row>
    <row r="655" spans="1:6" ht="18.75" x14ac:dyDescent="0.3">
      <c r="A655" s="3"/>
      <c r="B655" s="4"/>
      <c r="C655" s="5"/>
      <c r="D655" s="5"/>
      <c r="E655" s="3"/>
    </row>
    <row r="656" spans="1:6" ht="18.75" x14ac:dyDescent="0.3">
      <c r="A656" s="3"/>
      <c r="B656" s="4"/>
      <c r="C656" s="5"/>
      <c r="D656" s="5"/>
      <c r="E656" s="3"/>
    </row>
    <row r="657" spans="1:7" ht="18.75" x14ac:dyDescent="0.3">
      <c r="A657" s="3"/>
      <c r="B657" s="4"/>
      <c r="C657" s="5"/>
      <c r="D657" s="5"/>
      <c r="E657" s="3"/>
    </row>
    <row r="658" spans="1:7" ht="18.75" x14ac:dyDescent="0.3">
      <c r="A658" s="3"/>
      <c r="B658" s="4"/>
      <c r="C658" s="5"/>
      <c r="D658" s="5"/>
      <c r="E658" s="37"/>
    </row>
    <row r="659" spans="1:7" ht="18.75" x14ac:dyDescent="0.3">
      <c r="A659" s="3"/>
      <c r="B659" s="4"/>
      <c r="C659" s="5"/>
      <c r="D659" s="5"/>
      <c r="E659" s="37"/>
    </row>
    <row r="663" spans="1:7" ht="18.75" x14ac:dyDescent="0.3">
      <c r="A663" s="35" t="s">
        <v>0</v>
      </c>
      <c r="B663" s="35" t="s">
        <v>1</v>
      </c>
      <c r="C663" s="35" t="s">
        <v>2</v>
      </c>
      <c r="D663" s="35" t="s">
        <v>3</v>
      </c>
      <c r="E663" s="35" t="s">
        <v>4</v>
      </c>
      <c r="F663" s="35" t="s">
        <v>5</v>
      </c>
      <c r="G663" s="35" t="s">
        <v>6</v>
      </c>
    </row>
    <row r="664" spans="1:7" ht="18.75" x14ac:dyDescent="0.3">
      <c r="A664" s="22">
        <v>1811</v>
      </c>
      <c r="B664" s="22" t="s">
        <v>19</v>
      </c>
      <c r="C664" s="23" t="s">
        <v>542</v>
      </c>
      <c r="D664" s="24">
        <v>4248</v>
      </c>
      <c r="E664" s="22">
        <v>900</v>
      </c>
      <c r="F664" s="25"/>
      <c r="G664" s="26">
        <f>D664*E664</f>
        <v>3823200</v>
      </c>
    </row>
    <row r="665" spans="1:7" ht="18.75" x14ac:dyDescent="0.3">
      <c r="A665" s="1" t="s">
        <v>7</v>
      </c>
      <c r="B665" s="7">
        <v>5.4</v>
      </c>
      <c r="C665" s="48" t="s">
        <v>3</v>
      </c>
      <c r="D665" s="48" t="s">
        <v>8</v>
      </c>
      <c r="E665" s="46">
        <v>2293920</v>
      </c>
      <c r="F665" s="10"/>
      <c r="G665" s="11">
        <v>1529280</v>
      </c>
    </row>
    <row r="666" spans="1:7" ht="18.75" x14ac:dyDescent="0.3">
      <c r="A666" s="2" t="s">
        <v>539</v>
      </c>
      <c r="B666" s="12">
        <v>43</v>
      </c>
      <c r="C666" s="5">
        <v>4248</v>
      </c>
      <c r="D666" s="50">
        <f t="shared" ref="D666:D675" si="16">B666*C666</f>
        <v>182664</v>
      </c>
      <c r="E666" s="21">
        <v>0.6</v>
      </c>
      <c r="F666" s="10"/>
      <c r="G666" s="21">
        <v>0.4</v>
      </c>
    </row>
    <row r="667" spans="1:7" ht="18.75" x14ac:dyDescent="0.3">
      <c r="A667" s="2" t="s">
        <v>486</v>
      </c>
      <c r="B667" s="12">
        <v>43</v>
      </c>
      <c r="C667" s="3">
        <v>4248</v>
      </c>
      <c r="D667" s="50">
        <f t="shared" si="16"/>
        <v>182664</v>
      </c>
      <c r="E667" s="10"/>
      <c r="F667" s="10"/>
      <c r="G667" s="10"/>
    </row>
    <row r="668" spans="1:7" ht="18.75" x14ac:dyDescent="0.3">
      <c r="A668" s="2" t="s">
        <v>86</v>
      </c>
      <c r="B668" s="12">
        <v>52.7</v>
      </c>
      <c r="C668" s="3">
        <v>4248</v>
      </c>
      <c r="D668" s="50">
        <f t="shared" si="16"/>
        <v>223869.6</v>
      </c>
      <c r="E668" s="10"/>
      <c r="F668" s="10"/>
      <c r="G668" s="10"/>
    </row>
    <row r="669" spans="1:7" ht="18.75" x14ac:dyDescent="0.3">
      <c r="A669" s="2" t="s">
        <v>540</v>
      </c>
      <c r="B669" s="12">
        <v>52.7</v>
      </c>
      <c r="C669" s="5">
        <v>4248</v>
      </c>
      <c r="D669" s="50">
        <f t="shared" si="16"/>
        <v>223869.6</v>
      </c>
      <c r="E669" s="10"/>
      <c r="F669" s="10"/>
      <c r="G669" s="10"/>
    </row>
    <row r="670" spans="1:7" ht="18.75" x14ac:dyDescent="0.3">
      <c r="A670" s="2" t="s">
        <v>541</v>
      </c>
      <c r="B670" s="12">
        <v>60</v>
      </c>
      <c r="C670" s="3">
        <v>4248</v>
      </c>
      <c r="D670" s="50">
        <f t="shared" si="16"/>
        <v>254880</v>
      </c>
      <c r="E670" s="10"/>
      <c r="F670" s="10"/>
      <c r="G670" s="14">
        <f>E665-D680-D681-D682-D683-D684-D685-D686-D687-D688-D689-D690-D691-D692-D693-D694-D695-D696-D697-D698-D699-D700-D701-D702-D702</f>
        <v>956085</v>
      </c>
    </row>
    <row r="671" spans="1:7" ht="18.75" x14ac:dyDescent="0.3">
      <c r="A671" s="2" t="s">
        <v>488</v>
      </c>
      <c r="B671" s="12">
        <v>60</v>
      </c>
      <c r="C671" s="3">
        <v>4248</v>
      </c>
      <c r="D671" s="50">
        <f t="shared" si="16"/>
        <v>254880</v>
      </c>
      <c r="E671" s="10"/>
      <c r="F671" s="10"/>
      <c r="G671" s="10"/>
    </row>
    <row r="672" spans="1:7" ht="18.75" x14ac:dyDescent="0.3">
      <c r="A672" s="2" t="s">
        <v>53</v>
      </c>
      <c r="B672" s="12">
        <v>43</v>
      </c>
      <c r="C672" s="3">
        <v>4248</v>
      </c>
      <c r="D672" s="50">
        <f t="shared" si="16"/>
        <v>182664</v>
      </c>
      <c r="E672" s="10"/>
      <c r="F672" s="10"/>
    </row>
    <row r="673" spans="1:6" ht="18.75" x14ac:dyDescent="0.3">
      <c r="A673" s="2" t="s">
        <v>156</v>
      </c>
      <c r="B673" s="12">
        <v>100</v>
      </c>
      <c r="C673" s="3">
        <v>4248</v>
      </c>
      <c r="D673" s="50">
        <f t="shared" si="16"/>
        <v>424800</v>
      </c>
      <c r="E673" s="10"/>
      <c r="F673" s="10"/>
    </row>
    <row r="674" spans="1:6" ht="18.75" x14ac:dyDescent="0.3">
      <c r="A674" s="2" t="s">
        <v>88</v>
      </c>
      <c r="B674" s="15">
        <v>65</v>
      </c>
      <c r="C674" s="3">
        <v>4248</v>
      </c>
      <c r="D674" s="50">
        <f t="shared" si="16"/>
        <v>276120</v>
      </c>
      <c r="E674" s="10"/>
      <c r="F674" s="16"/>
    </row>
    <row r="675" spans="1:6" ht="18.75" x14ac:dyDescent="0.3">
      <c r="A675" s="2" t="s">
        <v>41</v>
      </c>
      <c r="B675" s="15">
        <v>20.6</v>
      </c>
      <c r="C675" s="3">
        <v>4248</v>
      </c>
      <c r="D675" s="50">
        <f t="shared" si="16"/>
        <v>87508.800000000003</v>
      </c>
      <c r="E675" s="10"/>
      <c r="F675" s="17"/>
    </row>
    <row r="676" spans="1:6" ht="18.75" x14ac:dyDescent="0.3">
      <c r="A676" s="2"/>
      <c r="B676" s="12"/>
      <c r="C676" s="3"/>
      <c r="D676" s="50"/>
      <c r="E676" s="10"/>
      <c r="F676" s="10"/>
    </row>
    <row r="677" spans="1:6" ht="18.75" x14ac:dyDescent="0.3">
      <c r="A677" s="2"/>
      <c r="B677" s="12"/>
      <c r="C677" s="3"/>
      <c r="D677" s="50"/>
      <c r="E677" s="10"/>
      <c r="F677" s="10"/>
    </row>
    <row r="678" spans="1:6" ht="18.75" x14ac:dyDescent="0.3">
      <c r="A678" s="18"/>
      <c r="B678" s="19"/>
      <c r="C678" s="20"/>
      <c r="D678" s="13"/>
      <c r="E678" s="10"/>
      <c r="F678" s="10"/>
    </row>
    <row r="679" spans="1:6" ht="18.75" x14ac:dyDescent="0.3">
      <c r="A679" s="1" t="s">
        <v>10</v>
      </c>
      <c r="B679" s="1" t="s">
        <v>11</v>
      </c>
      <c r="C679" s="1" t="s">
        <v>12</v>
      </c>
      <c r="D679" s="1" t="s">
        <v>13</v>
      </c>
      <c r="E679" s="1" t="s">
        <v>14</v>
      </c>
      <c r="F679" s="10"/>
    </row>
    <row r="680" spans="1:6" ht="18.75" x14ac:dyDescent="0.3">
      <c r="A680" s="3" t="s">
        <v>16</v>
      </c>
      <c r="B680" s="4" t="s">
        <v>555</v>
      </c>
      <c r="C680" s="3">
        <v>1416</v>
      </c>
      <c r="D680" s="58">
        <v>60888</v>
      </c>
      <c r="E680" s="3"/>
      <c r="F680" s="10"/>
    </row>
    <row r="681" spans="1:6" ht="18.75" x14ac:dyDescent="0.3">
      <c r="A681" s="3" t="s">
        <v>16</v>
      </c>
      <c r="B681" s="4" t="s">
        <v>556</v>
      </c>
      <c r="C681" s="3">
        <v>1416</v>
      </c>
      <c r="D681" s="58">
        <v>60888</v>
      </c>
      <c r="E681" s="5"/>
      <c r="F681" s="10"/>
    </row>
    <row r="682" spans="1:6" ht="18.75" x14ac:dyDescent="0.3">
      <c r="A682" s="3" t="s">
        <v>16</v>
      </c>
      <c r="B682" s="4" t="s">
        <v>557</v>
      </c>
      <c r="C682" s="3">
        <v>1416</v>
      </c>
      <c r="D682" s="58">
        <v>74624</v>
      </c>
      <c r="E682" s="5"/>
      <c r="F682" s="10"/>
    </row>
    <row r="683" spans="1:6" ht="18.75" x14ac:dyDescent="0.3">
      <c r="A683" s="3" t="s">
        <v>15</v>
      </c>
      <c r="B683" s="4" t="s">
        <v>558</v>
      </c>
      <c r="C683" s="3">
        <v>1416</v>
      </c>
      <c r="D683" s="58">
        <v>60888</v>
      </c>
      <c r="E683" s="3"/>
      <c r="F683" s="10"/>
    </row>
    <row r="684" spans="1:6" ht="18.75" x14ac:dyDescent="0.3">
      <c r="A684" s="6" t="s">
        <v>15</v>
      </c>
      <c r="B684" s="4" t="s">
        <v>559</v>
      </c>
      <c r="C684" s="3">
        <v>1416</v>
      </c>
      <c r="D684" s="58">
        <v>60888</v>
      </c>
      <c r="E684" s="5"/>
      <c r="F684" s="10"/>
    </row>
    <row r="685" spans="1:6" ht="18.75" x14ac:dyDescent="0.3">
      <c r="A685" s="3" t="s">
        <v>15</v>
      </c>
      <c r="B685" s="4" t="s">
        <v>560</v>
      </c>
      <c r="C685" s="3">
        <v>1416</v>
      </c>
      <c r="D685" s="58">
        <v>74624</v>
      </c>
      <c r="E685" s="5"/>
      <c r="F685" s="10"/>
    </row>
    <row r="686" spans="1:6" ht="18.75" x14ac:dyDescent="0.3">
      <c r="A686" s="3" t="s">
        <v>17</v>
      </c>
      <c r="B686" s="4" t="s">
        <v>561</v>
      </c>
      <c r="C686" s="3">
        <v>708</v>
      </c>
      <c r="D686" s="58">
        <v>30444</v>
      </c>
      <c r="E686" s="5"/>
      <c r="F686" s="10"/>
    </row>
    <row r="687" spans="1:6" ht="18.75" x14ac:dyDescent="0.3">
      <c r="A687" s="3" t="s">
        <v>17</v>
      </c>
      <c r="B687" s="4" t="s">
        <v>562</v>
      </c>
      <c r="C687" s="3">
        <v>708</v>
      </c>
      <c r="D687" s="58">
        <v>30444</v>
      </c>
      <c r="E687" s="3"/>
      <c r="F687" s="10"/>
    </row>
    <row r="688" spans="1:6" ht="18.75" x14ac:dyDescent="0.3">
      <c r="A688" s="3" t="s">
        <v>17</v>
      </c>
      <c r="B688" s="4" t="s">
        <v>563</v>
      </c>
      <c r="C688" s="3">
        <v>708</v>
      </c>
      <c r="D688" s="58">
        <v>37312</v>
      </c>
      <c r="E688" s="3"/>
      <c r="F688" s="10"/>
    </row>
    <row r="689" spans="1:6" ht="18.75" x14ac:dyDescent="0.3">
      <c r="A689" s="3" t="s">
        <v>42</v>
      </c>
      <c r="B689" s="4" t="s">
        <v>564</v>
      </c>
      <c r="C689" s="3">
        <v>708</v>
      </c>
      <c r="D689" s="58">
        <v>30444</v>
      </c>
      <c r="E689" s="3"/>
      <c r="F689" s="10"/>
    </row>
    <row r="690" spans="1:6" ht="18.75" x14ac:dyDescent="0.3">
      <c r="A690" s="3" t="s">
        <v>42</v>
      </c>
      <c r="B690" s="4" t="s">
        <v>565</v>
      </c>
      <c r="C690" s="3">
        <v>708</v>
      </c>
      <c r="D690" s="58">
        <v>30444</v>
      </c>
      <c r="E690" s="3"/>
      <c r="F690" s="10"/>
    </row>
    <row r="691" spans="1:6" ht="18.75" x14ac:dyDescent="0.3">
      <c r="A691" s="3" t="s">
        <v>42</v>
      </c>
      <c r="B691" s="4" t="s">
        <v>566</v>
      </c>
      <c r="C691" s="3">
        <v>708</v>
      </c>
      <c r="D691" s="58">
        <v>37312</v>
      </c>
      <c r="E691" s="3"/>
      <c r="F691" s="10"/>
    </row>
    <row r="692" spans="1:6" ht="18.75" x14ac:dyDescent="0.3">
      <c r="A692" s="3" t="s">
        <v>113</v>
      </c>
      <c r="B692" s="4" t="s">
        <v>595</v>
      </c>
      <c r="C692" s="3">
        <v>1416</v>
      </c>
      <c r="D692" s="5">
        <v>74623</v>
      </c>
      <c r="E692" s="3" t="s">
        <v>249</v>
      </c>
      <c r="F692" s="10"/>
    </row>
    <row r="693" spans="1:6" ht="18.75" x14ac:dyDescent="0.3">
      <c r="A693" s="6" t="s">
        <v>17</v>
      </c>
      <c r="B693" s="4" t="s">
        <v>575</v>
      </c>
      <c r="C693" s="6">
        <v>760</v>
      </c>
      <c r="D693" s="58">
        <v>38000</v>
      </c>
      <c r="E693" s="3"/>
      <c r="F693" s="10"/>
    </row>
    <row r="694" spans="1:6" ht="18.75" x14ac:dyDescent="0.3">
      <c r="A694" s="3"/>
      <c r="B694" s="6" t="s">
        <v>577</v>
      </c>
      <c r="C694" s="3"/>
      <c r="D694" s="5"/>
      <c r="E694" s="3"/>
      <c r="F694" s="10"/>
    </row>
    <row r="695" spans="1:6" ht="18.75" x14ac:dyDescent="0.3">
      <c r="A695" s="6" t="s">
        <v>42</v>
      </c>
      <c r="B695" s="4" t="s">
        <v>578</v>
      </c>
      <c r="C695" s="5">
        <v>4248</v>
      </c>
      <c r="D695" s="5">
        <v>254880</v>
      </c>
      <c r="E695" s="3"/>
      <c r="F695" s="10"/>
    </row>
    <row r="696" spans="1:6" ht="18.75" x14ac:dyDescent="0.3">
      <c r="A696" s="6" t="s">
        <v>29</v>
      </c>
      <c r="B696" s="4" t="s">
        <v>575</v>
      </c>
      <c r="C696" s="5"/>
      <c r="D696" s="5"/>
      <c r="E696" s="3"/>
    </row>
    <row r="697" spans="1:6" ht="18.75" x14ac:dyDescent="0.3">
      <c r="A697" s="6" t="s">
        <v>59</v>
      </c>
      <c r="B697" s="4" t="s">
        <v>575</v>
      </c>
      <c r="C697" s="5">
        <v>401</v>
      </c>
      <c r="D697" s="5">
        <v>20050</v>
      </c>
      <c r="E697" s="3"/>
    </row>
    <row r="698" spans="1:6" ht="18.75" x14ac:dyDescent="0.3">
      <c r="A698" s="6" t="s">
        <v>17</v>
      </c>
      <c r="B698" s="4" t="s">
        <v>579</v>
      </c>
      <c r="C698" s="5">
        <v>34</v>
      </c>
      <c r="D698" s="5">
        <v>3400</v>
      </c>
      <c r="E698" s="3"/>
    </row>
    <row r="699" spans="1:6" ht="18.75" x14ac:dyDescent="0.3">
      <c r="A699" s="6" t="s">
        <v>15</v>
      </c>
      <c r="B699" s="4" t="s">
        <v>593</v>
      </c>
      <c r="C699" s="5">
        <v>4248</v>
      </c>
      <c r="D699" s="5">
        <v>182664</v>
      </c>
      <c r="E699" s="3"/>
    </row>
    <row r="700" spans="1:6" ht="18.75" x14ac:dyDescent="0.3">
      <c r="A700" s="6" t="s">
        <v>104</v>
      </c>
      <c r="B700" s="4" t="s">
        <v>594</v>
      </c>
      <c r="C700" s="5"/>
      <c r="D700" s="5"/>
      <c r="E700" s="3"/>
    </row>
    <row r="701" spans="1:6" ht="18.75" x14ac:dyDescent="0.3">
      <c r="A701" s="6" t="s">
        <v>205</v>
      </c>
      <c r="B701" s="4" t="s">
        <v>594</v>
      </c>
      <c r="C701" s="5"/>
      <c r="D701" s="5"/>
    </row>
    <row r="702" spans="1:6" ht="18.75" x14ac:dyDescent="0.3">
      <c r="A702" s="6" t="s">
        <v>41</v>
      </c>
      <c r="B702" s="4" t="s">
        <v>596</v>
      </c>
      <c r="C702" s="5">
        <v>4248</v>
      </c>
      <c r="D702" s="5">
        <v>87509</v>
      </c>
    </row>
    <row r="703" spans="1:6" ht="18.75" x14ac:dyDescent="0.3">
      <c r="A703" s="3" t="s">
        <v>113</v>
      </c>
      <c r="B703" s="4" t="s">
        <v>595</v>
      </c>
      <c r="C703" s="3">
        <v>1416</v>
      </c>
      <c r="D703" s="5">
        <v>74623</v>
      </c>
      <c r="E703" s="3"/>
    </row>
    <row r="704" spans="1:6" ht="18.75" x14ac:dyDescent="0.3">
      <c r="A704" s="3" t="s">
        <v>113</v>
      </c>
      <c r="B704" s="4" t="s">
        <v>595</v>
      </c>
      <c r="C704" s="3">
        <v>1416</v>
      </c>
      <c r="D704" s="5">
        <v>74623</v>
      </c>
      <c r="E704" s="37"/>
    </row>
    <row r="705" spans="1:7" ht="18.75" x14ac:dyDescent="0.3">
      <c r="A705" s="3"/>
      <c r="B705" s="4"/>
      <c r="C705" s="5"/>
      <c r="D705" s="5"/>
      <c r="E705" s="37"/>
    </row>
    <row r="708" spans="1:7" x14ac:dyDescent="0.25">
      <c r="B708" s="134" t="s">
        <v>505</v>
      </c>
      <c r="C708" s="134"/>
      <c r="D708" s="134"/>
    </row>
    <row r="709" spans="1:7" x14ac:dyDescent="0.25">
      <c r="B709" s="134"/>
      <c r="C709" s="134"/>
      <c r="D709" s="134"/>
    </row>
    <row r="711" spans="1:7" ht="18.75" x14ac:dyDescent="0.3">
      <c r="A711" s="35" t="s">
        <v>0</v>
      </c>
      <c r="B711" s="35" t="s">
        <v>1</v>
      </c>
      <c r="C711" s="35" t="s">
        <v>2</v>
      </c>
      <c r="D711" s="35" t="s">
        <v>3</v>
      </c>
      <c r="E711" s="35" t="s">
        <v>4</v>
      </c>
      <c r="F711" s="35" t="s">
        <v>5</v>
      </c>
      <c r="G711" s="35" t="s">
        <v>6</v>
      </c>
    </row>
    <row r="712" spans="1:7" ht="18.75" x14ac:dyDescent="0.3">
      <c r="A712" s="22">
        <v>1831</v>
      </c>
      <c r="B712" s="22" t="s">
        <v>19</v>
      </c>
      <c r="C712" s="23" t="s">
        <v>607</v>
      </c>
      <c r="D712" s="24">
        <v>1506</v>
      </c>
      <c r="E712" s="22">
        <v>900</v>
      </c>
      <c r="F712" s="25"/>
      <c r="G712" s="26">
        <f>D712*E712</f>
        <v>1355400</v>
      </c>
    </row>
    <row r="713" spans="1:7" ht="18.75" x14ac:dyDescent="0.3">
      <c r="A713" s="1" t="s">
        <v>7</v>
      </c>
      <c r="B713" s="7">
        <v>5.4</v>
      </c>
      <c r="C713" s="48" t="s">
        <v>3</v>
      </c>
      <c r="D713" s="48" t="s">
        <v>8</v>
      </c>
      <c r="E713" s="46">
        <v>813240</v>
      </c>
      <c r="F713" s="10"/>
      <c r="G713" s="11">
        <v>542160</v>
      </c>
    </row>
    <row r="714" spans="1:7" ht="18.75" x14ac:dyDescent="0.3">
      <c r="A714" s="2" t="s">
        <v>174</v>
      </c>
      <c r="B714" s="12">
        <v>58</v>
      </c>
      <c r="C714" s="5">
        <v>753</v>
      </c>
      <c r="D714" s="50">
        <f t="shared" ref="D714:D722" si="17">B714*C714</f>
        <v>43674</v>
      </c>
      <c r="E714" s="21">
        <v>0.6</v>
      </c>
      <c r="F714" s="10"/>
      <c r="G714" s="21">
        <v>0.4</v>
      </c>
    </row>
    <row r="715" spans="1:7" ht="18.75" x14ac:dyDescent="0.3">
      <c r="A715" s="2" t="s">
        <v>257</v>
      </c>
      <c r="B715" s="12">
        <v>86</v>
      </c>
      <c r="C715" s="3">
        <v>753</v>
      </c>
      <c r="D715" s="50">
        <f t="shared" si="17"/>
        <v>64758</v>
      </c>
      <c r="E715" s="10"/>
      <c r="F715" s="10"/>
      <c r="G715" s="10"/>
    </row>
    <row r="716" spans="1:7" ht="18.75" x14ac:dyDescent="0.3">
      <c r="A716" s="2" t="s">
        <v>46</v>
      </c>
      <c r="B716" s="12">
        <v>89</v>
      </c>
      <c r="C716" s="3">
        <v>753</v>
      </c>
      <c r="D716" s="50">
        <f t="shared" si="17"/>
        <v>67017</v>
      </c>
      <c r="E716" s="10"/>
      <c r="F716" s="10"/>
      <c r="G716" s="10"/>
    </row>
    <row r="717" spans="1:7" ht="18.75" x14ac:dyDescent="0.3">
      <c r="A717" s="2" t="s">
        <v>70</v>
      </c>
      <c r="B717" s="12">
        <v>64</v>
      </c>
      <c r="C717" s="5">
        <v>1506</v>
      </c>
      <c r="D717" s="50">
        <f t="shared" si="17"/>
        <v>96384</v>
      </c>
      <c r="E717" s="10"/>
      <c r="F717" s="10"/>
      <c r="G717" s="10"/>
    </row>
    <row r="718" spans="1:7" ht="18.75" x14ac:dyDescent="0.3">
      <c r="A718" s="2" t="s">
        <v>61</v>
      </c>
      <c r="B718" s="12">
        <v>66</v>
      </c>
      <c r="C718" s="3">
        <v>1506</v>
      </c>
      <c r="D718" s="50">
        <f t="shared" si="17"/>
        <v>99396</v>
      </c>
      <c r="E718" s="10"/>
      <c r="F718" s="10"/>
      <c r="G718" s="14">
        <f>E713-D728-D729-D730-D731-D732-D733-D734-D735-D736-D737-D738-D739-D740-D741-D742-D743-D744-D745-D746-D747-D748-D749-D750-D750</f>
        <v>0</v>
      </c>
    </row>
    <row r="719" spans="1:7" ht="18.75" x14ac:dyDescent="0.3">
      <c r="A719" s="2" t="s">
        <v>156</v>
      </c>
      <c r="B719" s="12">
        <v>60</v>
      </c>
      <c r="C719" s="3">
        <v>1506</v>
      </c>
      <c r="D719" s="50">
        <f t="shared" si="17"/>
        <v>90360</v>
      </c>
      <c r="E719" s="10"/>
      <c r="F719" s="10"/>
      <c r="G719" s="10"/>
    </row>
    <row r="720" spans="1:7" ht="18.75" x14ac:dyDescent="0.3">
      <c r="A720" s="2" t="s">
        <v>101</v>
      </c>
      <c r="B720" s="12">
        <v>43</v>
      </c>
      <c r="C720" s="3">
        <v>1506</v>
      </c>
      <c r="D720" s="50">
        <f t="shared" si="17"/>
        <v>64758</v>
      </c>
      <c r="E720" s="10"/>
      <c r="F720" s="10"/>
    </row>
    <row r="721" spans="1:6" ht="18.75" x14ac:dyDescent="0.3">
      <c r="A721" s="2" t="s">
        <v>41</v>
      </c>
      <c r="B721" s="15">
        <v>74</v>
      </c>
      <c r="C721" s="3">
        <v>1506</v>
      </c>
      <c r="D721" s="50">
        <f t="shared" si="17"/>
        <v>111444</v>
      </c>
      <c r="E721" s="10"/>
      <c r="F721" s="10"/>
    </row>
    <row r="722" spans="1:6" ht="18.75" x14ac:dyDescent="0.3">
      <c r="A722" s="2"/>
      <c r="B722" s="15"/>
      <c r="C722" s="3"/>
      <c r="D722" s="50">
        <f t="shared" si="17"/>
        <v>0</v>
      </c>
      <c r="E722" s="10"/>
      <c r="F722" s="16"/>
    </row>
    <row r="723" spans="1:6" ht="18.75" x14ac:dyDescent="0.3">
      <c r="A723" s="2"/>
      <c r="B723" s="15"/>
      <c r="C723" s="3"/>
      <c r="D723" s="50"/>
      <c r="E723" s="10"/>
      <c r="F723" s="17"/>
    </row>
    <row r="724" spans="1:6" ht="18.75" x14ac:dyDescent="0.3">
      <c r="A724" s="2"/>
      <c r="B724" s="12"/>
      <c r="C724" s="3"/>
      <c r="D724" s="50"/>
      <c r="E724" s="10"/>
      <c r="F724" s="10"/>
    </row>
    <row r="725" spans="1:6" ht="18.75" x14ac:dyDescent="0.3">
      <c r="A725" s="2"/>
      <c r="B725" s="12"/>
      <c r="C725" s="3"/>
      <c r="D725" s="50"/>
      <c r="E725" s="10"/>
      <c r="F725" s="10"/>
    </row>
    <row r="726" spans="1:6" ht="18.75" x14ac:dyDescent="0.3">
      <c r="A726" s="18"/>
      <c r="B726" s="19"/>
      <c r="C726" s="20"/>
      <c r="D726" s="13"/>
      <c r="E726" s="10"/>
      <c r="F726" s="10"/>
    </row>
    <row r="727" spans="1:6" ht="18.75" x14ac:dyDescent="0.3">
      <c r="A727" s="1" t="s">
        <v>10</v>
      </c>
      <c r="B727" s="1" t="s">
        <v>11</v>
      </c>
      <c r="C727" s="1" t="s">
        <v>12</v>
      </c>
      <c r="D727" s="1" t="s">
        <v>13</v>
      </c>
      <c r="E727" s="1" t="s">
        <v>14</v>
      </c>
      <c r="F727" s="10"/>
    </row>
    <row r="728" spans="1:6" ht="18.75" x14ac:dyDescent="0.3">
      <c r="A728" s="3" t="s">
        <v>15</v>
      </c>
      <c r="B728" s="4" t="s">
        <v>612</v>
      </c>
      <c r="C728" s="3">
        <v>753</v>
      </c>
      <c r="D728" s="58">
        <v>43674</v>
      </c>
      <c r="E728" s="3"/>
      <c r="F728" s="10"/>
    </row>
    <row r="729" spans="1:6" ht="18.75" x14ac:dyDescent="0.3">
      <c r="A729" s="3" t="s">
        <v>15</v>
      </c>
      <c r="B729" s="4" t="s">
        <v>613</v>
      </c>
      <c r="C729" s="3">
        <v>753</v>
      </c>
      <c r="D729" s="58">
        <v>64758</v>
      </c>
      <c r="E729" s="5"/>
      <c r="F729" s="10"/>
    </row>
    <row r="730" spans="1:6" ht="18.75" x14ac:dyDescent="0.3">
      <c r="A730" s="3" t="s">
        <v>379</v>
      </c>
      <c r="B730" s="4" t="s">
        <v>614</v>
      </c>
      <c r="C730" s="3">
        <v>753</v>
      </c>
      <c r="D730" s="58">
        <v>43674</v>
      </c>
      <c r="E730" s="5"/>
      <c r="F730" s="10"/>
    </row>
    <row r="731" spans="1:6" ht="18.75" x14ac:dyDescent="0.3">
      <c r="A731" s="3" t="s">
        <v>16</v>
      </c>
      <c r="B731" s="4" t="s">
        <v>615</v>
      </c>
      <c r="C731" s="5">
        <v>753</v>
      </c>
      <c r="D731" s="58">
        <v>64758</v>
      </c>
      <c r="E731" s="3"/>
      <c r="F731" s="10"/>
    </row>
    <row r="732" spans="1:6" ht="18.75" x14ac:dyDescent="0.3">
      <c r="A732" s="6" t="s">
        <v>17</v>
      </c>
      <c r="B732" s="4" t="s">
        <v>608</v>
      </c>
      <c r="C732" s="3">
        <v>1506</v>
      </c>
      <c r="D732" s="58">
        <v>96384</v>
      </c>
      <c r="E732" s="5"/>
      <c r="F732" s="10"/>
    </row>
    <row r="733" spans="1:6" ht="18.75" x14ac:dyDescent="0.3">
      <c r="A733" s="3" t="s">
        <v>17</v>
      </c>
      <c r="B733" s="4" t="s">
        <v>616</v>
      </c>
      <c r="C733" s="3">
        <v>1506</v>
      </c>
      <c r="D733" s="58">
        <v>99396</v>
      </c>
      <c r="E733" s="5"/>
      <c r="F733" s="10"/>
    </row>
    <row r="734" spans="1:6" ht="18.75" x14ac:dyDescent="0.3">
      <c r="A734" s="3" t="s">
        <v>379</v>
      </c>
      <c r="B734" s="4" t="s">
        <v>617</v>
      </c>
      <c r="C734" s="3">
        <v>1506</v>
      </c>
      <c r="D734" s="58">
        <v>90360</v>
      </c>
      <c r="E734" s="5"/>
      <c r="F734" s="10"/>
    </row>
    <row r="735" spans="1:6" ht="18.75" x14ac:dyDescent="0.3">
      <c r="A735" s="3" t="s">
        <v>42</v>
      </c>
      <c r="B735" s="4" t="s">
        <v>618</v>
      </c>
      <c r="C735" s="3">
        <v>753</v>
      </c>
      <c r="D735" s="58">
        <v>67017</v>
      </c>
      <c r="E735" s="3"/>
      <c r="F735" s="10"/>
    </row>
    <row r="736" spans="1:6" ht="18.75" x14ac:dyDescent="0.3">
      <c r="A736" s="3" t="s">
        <v>41</v>
      </c>
      <c r="B736" s="4" t="s">
        <v>41</v>
      </c>
      <c r="C736" s="3">
        <v>1506</v>
      </c>
      <c r="D736" s="58">
        <v>111444</v>
      </c>
      <c r="E736" s="3"/>
      <c r="F736" s="10"/>
    </row>
    <row r="737" spans="1:6" ht="18.75" x14ac:dyDescent="0.3">
      <c r="A737" s="3" t="s">
        <v>42</v>
      </c>
      <c r="B737" s="4" t="s">
        <v>683</v>
      </c>
      <c r="C737" s="3">
        <v>1506</v>
      </c>
      <c r="D737" s="58">
        <v>64758</v>
      </c>
      <c r="E737" s="3"/>
      <c r="F737" s="10"/>
    </row>
    <row r="738" spans="1:6" ht="18.75" x14ac:dyDescent="0.3">
      <c r="A738" s="3" t="s">
        <v>16</v>
      </c>
      <c r="B738" s="4" t="s">
        <v>619</v>
      </c>
      <c r="C738" s="3">
        <v>753</v>
      </c>
      <c r="D738" s="58">
        <v>67017</v>
      </c>
      <c r="E738" s="3"/>
      <c r="F738" s="10"/>
    </row>
    <row r="739" spans="1:6" ht="18.75" x14ac:dyDescent="0.3">
      <c r="A739" s="3"/>
      <c r="B739" s="4"/>
      <c r="C739" s="3"/>
      <c r="D739" s="58"/>
      <c r="E739" s="3"/>
      <c r="F739" s="10"/>
    </row>
    <row r="740" spans="1:6" ht="18.75" x14ac:dyDescent="0.3">
      <c r="A740" s="3"/>
      <c r="B740" s="4"/>
      <c r="C740" s="3"/>
      <c r="D740" s="5"/>
      <c r="E740" s="3" t="s">
        <v>249</v>
      </c>
      <c r="F740" s="10"/>
    </row>
    <row r="741" spans="1:6" ht="18.75" x14ac:dyDescent="0.3">
      <c r="A741" s="3"/>
      <c r="B741" s="4"/>
      <c r="C741" s="3"/>
      <c r="D741" s="5"/>
      <c r="E741" s="3"/>
      <c r="F741" s="10"/>
    </row>
    <row r="742" spans="1:6" ht="18.75" x14ac:dyDescent="0.3">
      <c r="A742" s="3"/>
      <c r="B742" s="4"/>
      <c r="C742" s="3"/>
      <c r="D742" s="5"/>
      <c r="E742" s="3"/>
      <c r="F742" s="10"/>
    </row>
    <row r="743" spans="1:6" ht="18.75" x14ac:dyDescent="0.3">
      <c r="A743" s="3"/>
      <c r="B743" s="4"/>
      <c r="C743" s="5"/>
      <c r="D743" s="5"/>
      <c r="E743" s="3"/>
      <c r="F743" s="10"/>
    </row>
    <row r="744" spans="1:6" ht="18.75" x14ac:dyDescent="0.3">
      <c r="A744" s="3"/>
      <c r="B744" s="4"/>
      <c r="C744" s="5"/>
      <c r="D744" s="5"/>
      <c r="E744" s="3"/>
    </row>
    <row r="745" spans="1:6" ht="18.75" x14ac:dyDescent="0.3">
      <c r="A745" s="3"/>
      <c r="B745" s="4"/>
      <c r="C745" s="5"/>
      <c r="D745" s="5"/>
      <c r="E745" s="3"/>
    </row>
    <row r="746" spans="1:6" ht="18.75" x14ac:dyDescent="0.3">
      <c r="A746" s="3"/>
      <c r="B746" s="4"/>
      <c r="C746" s="5"/>
      <c r="D746" s="5"/>
      <c r="E746" s="3"/>
    </row>
    <row r="747" spans="1:6" ht="18.75" x14ac:dyDescent="0.3">
      <c r="A747" s="3"/>
      <c r="B747" s="4"/>
      <c r="C747" s="5"/>
      <c r="D747" s="5"/>
      <c r="E747" s="3"/>
    </row>
    <row r="748" spans="1:6" ht="18.75" x14ac:dyDescent="0.3">
      <c r="A748" s="3"/>
      <c r="B748" s="4"/>
      <c r="C748" s="5"/>
      <c r="D748" s="5"/>
      <c r="E748" s="3"/>
    </row>
    <row r="749" spans="1:6" ht="18.75" x14ac:dyDescent="0.3">
      <c r="A749" s="3"/>
      <c r="B749" s="4"/>
      <c r="C749" s="5"/>
      <c r="D749" s="5"/>
      <c r="E749" s="37"/>
    </row>
    <row r="750" spans="1:6" ht="18.75" x14ac:dyDescent="0.3">
      <c r="A750" s="3"/>
      <c r="B750" s="4"/>
      <c r="C750" s="5"/>
      <c r="D750" s="5"/>
      <c r="E750" s="37"/>
    </row>
    <row r="753" spans="1:7" ht="18.75" x14ac:dyDescent="0.3">
      <c r="A753" s="35" t="s">
        <v>0</v>
      </c>
      <c r="B753" s="35" t="s">
        <v>1</v>
      </c>
      <c r="C753" s="35" t="s">
        <v>2</v>
      </c>
      <c r="D753" s="35" t="s">
        <v>3</v>
      </c>
      <c r="E753" s="35" t="s">
        <v>4</v>
      </c>
      <c r="F753" s="35" t="s">
        <v>5</v>
      </c>
      <c r="G753" s="35" t="s">
        <v>6</v>
      </c>
    </row>
    <row r="754" spans="1:7" ht="18.75" x14ac:dyDescent="0.3">
      <c r="A754" s="22">
        <v>1844</v>
      </c>
      <c r="B754" s="22" t="s">
        <v>19</v>
      </c>
      <c r="C754" s="23" t="s">
        <v>633</v>
      </c>
      <c r="D754" s="24">
        <v>1920</v>
      </c>
      <c r="E754" s="22">
        <v>900</v>
      </c>
      <c r="F754" s="25" t="s">
        <v>634</v>
      </c>
      <c r="G754" s="26">
        <f>D754*E754</f>
        <v>1728000</v>
      </c>
    </row>
    <row r="755" spans="1:7" ht="18.75" x14ac:dyDescent="0.3">
      <c r="A755" s="1" t="s">
        <v>7</v>
      </c>
      <c r="B755" s="7">
        <v>5.4</v>
      </c>
      <c r="C755" s="48" t="s">
        <v>3</v>
      </c>
      <c r="D755" s="48" t="s">
        <v>8</v>
      </c>
      <c r="E755" s="46">
        <v>1036800</v>
      </c>
      <c r="F755" s="10"/>
      <c r="G755" s="11">
        <v>691200</v>
      </c>
    </row>
    <row r="756" spans="1:7" ht="18.75" x14ac:dyDescent="0.3">
      <c r="A756" s="2" t="s">
        <v>630</v>
      </c>
      <c r="B756" s="12">
        <v>80</v>
      </c>
      <c r="C756" s="5">
        <v>1920</v>
      </c>
      <c r="D756" s="50">
        <f t="shared" ref="D756:D764" si="18">B756*C756</f>
        <v>153600</v>
      </c>
      <c r="E756" s="21">
        <v>0.6</v>
      </c>
      <c r="F756" s="10"/>
      <c r="G756" s="21">
        <v>0.4</v>
      </c>
    </row>
    <row r="757" spans="1:7" ht="18.75" x14ac:dyDescent="0.3">
      <c r="A757" s="2" t="s">
        <v>631</v>
      </c>
      <c r="B757" s="12">
        <v>50</v>
      </c>
      <c r="C757" s="3">
        <v>1920</v>
      </c>
      <c r="D757" s="50">
        <f t="shared" si="18"/>
        <v>96000</v>
      </c>
      <c r="E757" s="10"/>
      <c r="F757" s="10"/>
      <c r="G757" s="10"/>
    </row>
    <row r="758" spans="1:7" ht="18.75" x14ac:dyDescent="0.3">
      <c r="A758" s="2" t="s">
        <v>396</v>
      </c>
      <c r="B758" s="12">
        <v>80</v>
      </c>
      <c r="C758" s="3">
        <v>1920</v>
      </c>
      <c r="D758" s="50">
        <f t="shared" si="18"/>
        <v>153600</v>
      </c>
      <c r="E758" s="10"/>
      <c r="F758" s="10"/>
      <c r="G758" s="10"/>
    </row>
    <row r="759" spans="1:7" ht="18.75" x14ac:dyDescent="0.3">
      <c r="A759" s="2" t="s">
        <v>339</v>
      </c>
      <c r="B759" s="12">
        <v>65</v>
      </c>
      <c r="C759" s="5">
        <v>1920</v>
      </c>
      <c r="D759" s="50">
        <f t="shared" si="18"/>
        <v>124800</v>
      </c>
      <c r="E759" s="10"/>
      <c r="F759" s="10"/>
      <c r="G759" s="10"/>
    </row>
    <row r="760" spans="1:7" ht="18.75" x14ac:dyDescent="0.3">
      <c r="A760" s="2" t="s">
        <v>488</v>
      </c>
      <c r="B760" s="12">
        <v>60</v>
      </c>
      <c r="C760" s="3">
        <v>1920</v>
      </c>
      <c r="D760" s="50">
        <f t="shared" si="18"/>
        <v>115200</v>
      </c>
      <c r="E760" s="10"/>
      <c r="F760" s="10"/>
      <c r="G760" s="14">
        <f>E755-D770-D771-D772-D773-D774-D775-D776-D777-D778-D779-D780-D781-D782-D783-D784-D785-D786-D787-D788-D789-D790-D791-D792-D792</f>
        <v>0</v>
      </c>
    </row>
    <row r="761" spans="1:7" ht="18.75" x14ac:dyDescent="0.3">
      <c r="A761" s="2" t="s">
        <v>632</v>
      </c>
      <c r="B761" s="12">
        <v>43</v>
      </c>
      <c r="C761" s="3">
        <v>1920</v>
      </c>
      <c r="D761" s="50">
        <f t="shared" si="18"/>
        <v>82560</v>
      </c>
      <c r="E761" s="10"/>
      <c r="F761" s="10"/>
      <c r="G761" s="10"/>
    </row>
    <row r="762" spans="1:7" ht="18.75" x14ac:dyDescent="0.3">
      <c r="A762" s="2" t="s">
        <v>41</v>
      </c>
      <c r="B762" s="12">
        <v>162</v>
      </c>
      <c r="C762" s="3">
        <v>1920</v>
      </c>
      <c r="D762" s="50">
        <f t="shared" si="18"/>
        <v>311040</v>
      </c>
      <c r="E762" s="10"/>
      <c r="F762" s="10"/>
    </row>
    <row r="763" spans="1:7" ht="18.75" x14ac:dyDescent="0.3">
      <c r="A763" s="2"/>
      <c r="B763" s="15"/>
      <c r="C763" s="3"/>
      <c r="D763" s="50">
        <f t="shared" si="18"/>
        <v>0</v>
      </c>
      <c r="E763" s="10"/>
      <c r="F763" s="10"/>
    </row>
    <row r="764" spans="1:7" ht="18.75" x14ac:dyDescent="0.3">
      <c r="A764" s="2"/>
      <c r="B764" s="15"/>
      <c r="C764" s="3"/>
      <c r="D764" s="50">
        <f t="shared" si="18"/>
        <v>0</v>
      </c>
      <c r="E764" s="10"/>
      <c r="F764" s="16"/>
    </row>
    <row r="765" spans="1:7" ht="18.75" x14ac:dyDescent="0.3">
      <c r="A765" s="2"/>
      <c r="B765" s="15"/>
      <c r="C765" s="3"/>
      <c r="D765" s="50"/>
      <c r="E765" s="10"/>
      <c r="F765" s="17"/>
    </row>
    <row r="766" spans="1:7" ht="18.75" x14ac:dyDescent="0.3">
      <c r="A766" s="2"/>
      <c r="B766" s="12"/>
      <c r="C766" s="3"/>
      <c r="D766" s="50"/>
      <c r="E766" s="10"/>
      <c r="F766" s="10"/>
    </row>
    <row r="767" spans="1:7" ht="18.75" x14ac:dyDescent="0.3">
      <c r="A767" s="2"/>
      <c r="B767" s="12"/>
      <c r="C767" s="3"/>
      <c r="D767" s="50"/>
      <c r="E767" s="10"/>
      <c r="F767" s="10"/>
    </row>
    <row r="768" spans="1:7" ht="18.75" x14ac:dyDescent="0.3">
      <c r="A768" s="18"/>
      <c r="B768" s="19"/>
      <c r="C768" s="20"/>
      <c r="D768" s="13"/>
      <c r="E768" s="10"/>
      <c r="F768" s="10"/>
    </row>
    <row r="769" spans="1:6" ht="18.75" x14ac:dyDescent="0.3">
      <c r="A769" s="1" t="s">
        <v>10</v>
      </c>
      <c r="B769" s="1" t="s">
        <v>11</v>
      </c>
      <c r="C769" s="1" t="s">
        <v>12</v>
      </c>
      <c r="D769" s="1" t="s">
        <v>13</v>
      </c>
      <c r="E769" s="1" t="s">
        <v>14</v>
      </c>
      <c r="F769" s="10"/>
    </row>
    <row r="770" spans="1:6" ht="18.75" x14ac:dyDescent="0.3">
      <c r="A770" s="3" t="s">
        <v>15</v>
      </c>
      <c r="B770" s="4" t="s">
        <v>638</v>
      </c>
      <c r="C770" s="3">
        <v>640</v>
      </c>
      <c r="D770" s="58">
        <v>51200</v>
      </c>
      <c r="E770" s="3"/>
      <c r="F770" s="10"/>
    </row>
    <row r="771" spans="1:6" ht="18.75" x14ac:dyDescent="0.3">
      <c r="A771" s="3" t="s">
        <v>15</v>
      </c>
      <c r="B771" s="4" t="s">
        <v>639</v>
      </c>
      <c r="C771" s="3">
        <v>640</v>
      </c>
      <c r="D771" s="58">
        <v>32000</v>
      </c>
      <c r="E771" s="5"/>
      <c r="F771" s="10"/>
    </row>
    <row r="772" spans="1:6" ht="18.75" x14ac:dyDescent="0.3">
      <c r="A772" s="3" t="s">
        <v>17</v>
      </c>
      <c r="B772" s="4" t="s">
        <v>635</v>
      </c>
      <c r="C772" s="3">
        <v>1920</v>
      </c>
      <c r="D772" s="58">
        <v>153600</v>
      </c>
      <c r="E772" s="5"/>
      <c r="F772" s="10"/>
    </row>
    <row r="773" spans="1:6" ht="18.75" x14ac:dyDescent="0.3">
      <c r="A773" s="3" t="s">
        <v>16</v>
      </c>
      <c r="B773" s="4" t="s">
        <v>636</v>
      </c>
      <c r="C773" s="5">
        <v>640</v>
      </c>
      <c r="D773" s="58">
        <v>51200</v>
      </c>
      <c r="E773" s="3"/>
      <c r="F773" s="10"/>
    </row>
    <row r="774" spans="1:6" ht="18.75" x14ac:dyDescent="0.3">
      <c r="A774" s="6" t="s">
        <v>16</v>
      </c>
      <c r="B774" s="4" t="s">
        <v>637</v>
      </c>
      <c r="C774" s="3">
        <v>640</v>
      </c>
      <c r="D774" s="58">
        <v>32000</v>
      </c>
      <c r="E774" s="5"/>
      <c r="F774" s="10"/>
    </row>
    <row r="775" spans="1:6" ht="18.75" x14ac:dyDescent="0.3">
      <c r="A775" s="3" t="s">
        <v>42</v>
      </c>
      <c r="B775" s="4" t="s">
        <v>640</v>
      </c>
      <c r="C775" s="5">
        <v>640</v>
      </c>
      <c r="D775" s="58">
        <v>51200</v>
      </c>
      <c r="E775" s="5"/>
      <c r="F775" s="10"/>
    </row>
    <row r="776" spans="1:6" ht="18.75" x14ac:dyDescent="0.3">
      <c r="A776" s="3" t="s">
        <v>42</v>
      </c>
      <c r="B776" s="4" t="s">
        <v>641</v>
      </c>
      <c r="C776" s="3">
        <v>640</v>
      </c>
      <c r="D776" s="58">
        <v>32000</v>
      </c>
      <c r="E776" s="5"/>
      <c r="F776" s="10"/>
    </row>
    <row r="777" spans="1:6" ht="18.75" x14ac:dyDescent="0.3">
      <c r="A777" s="3" t="s">
        <v>42</v>
      </c>
      <c r="B777" s="4" t="s">
        <v>642</v>
      </c>
      <c r="C777" s="3">
        <v>1920</v>
      </c>
      <c r="D777" s="58">
        <v>115200</v>
      </c>
      <c r="E777" s="3"/>
      <c r="F777" s="10"/>
    </row>
    <row r="778" spans="1:6" ht="18.75" x14ac:dyDescent="0.3">
      <c r="A778" s="3" t="s">
        <v>379</v>
      </c>
      <c r="B778" s="4" t="s">
        <v>643</v>
      </c>
      <c r="C778" s="3">
        <v>960</v>
      </c>
      <c r="D778" s="58">
        <v>62400</v>
      </c>
      <c r="E778" s="3"/>
      <c r="F778" s="10"/>
    </row>
    <row r="779" spans="1:6" ht="18.75" x14ac:dyDescent="0.3">
      <c r="A779" s="3" t="s">
        <v>16</v>
      </c>
      <c r="B779" s="4" t="s">
        <v>644</v>
      </c>
      <c r="C779" s="3">
        <v>1920</v>
      </c>
      <c r="D779" s="58">
        <v>82560</v>
      </c>
      <c r="E779" s="3"/>
      <c r="F779" s="10"/>
    </row>
    <row r="780" spans="1:6" ht="18.75" x14ac:dyDescent="0.3">
      <c r="A780" s="3" t="s">
        <v>67</v>
      </c>
      <c r="B780" s="4" t="s">
        <v>645</v>
      </c>
      <c r="C780" s="3">
        <v>1920</v>
      </c>
      <c r="D780" s="58">
        <v>311040</v>
      </c>
      <c r="E780" s="3"/>
      <c r="F780" s="10"/>
    </row>
    <row r="781" spans="1:6" ht="18.75" x14ac:dyDescent="0.3">
      <c r="A781" s="3" t="s">
        <v>17</v>
      </c>
      <c r="B781" s="4" t="s">
        <v>643</v>
      </c>
      <c r="C781" s="3">
        <v>960</v>
      </c>
      <c r="D781" s="58">
        <v>62400</v>
      </c>
      <c r="E781" s="3"/>
      <c r="F781" s="10"/>
    </row>
    <row r="782" spans="1:6" ht="18.75" x14ac:dyDescent="0.3">
      <c r="A782" s="3"/>
      <c r="B782" s="4"/>
      <c r="C782" s="3"/>
      <c r="D782" s="5"/>
      <c r="E782" s="3" t="s">
        <v>249</v>
      </c>
      <c r="F782" s="10"/>
    </row>
    <row r="783" spans="1:6" ht="18.75" x14ac:dyDescent="0.3">
      <c r="A783" s="3"/>
      <c r="B783" s="4"/>
      <c r="C783" s="3"/>
      <c r="D783" s="5"/>
      <c r="E783" s="3"/>
      <c r="F783" s="10"/>
    </row>
    <row r="784" spans="1:6" ht="18.75" x14ac:dyDescent="0.3">
      <c r="A784" s="3"/>
      <c r="B784" s="4"/>
      <c r="C784" s="3"/>
      <c r="D784" s="5"/>
      <c r="E784" s="3"/>
      <c r="F784" s="10"/>
    </row>
    <row r="785" spans="1:7" ht="18.75" x14ac:dyDescent="0.3">
      <c r="A785" s="3"/>
      <c r="B785" s="4"/>
      <c r="C785" s="5"/>
      <c r="D785" s="5"/>
      <c r="E785" s="3"/>
      <c r="F785" s="10"/>
    </row>
    <row r="786" spans="1:7" ht="18.75" x14ac:dyDescent="0.3">
      <c r="A786" s="3"/>
      <c r="B786" s="4"/>
      <c r="C786" s="5"/>
      <c r="D786" s="5"/>
      <c r="E786" s="3"/>
    </row>
    <row r="787" spans="1:7" ht="18.75" x14ac:dyDescent="0.3">
      <c r="A787" s="3"/>
      <c r="B787" s="4"/>
      <c r="C787" s="5"/>
      <c r="D787" s="5"/>
      <c r="E787" s="3"/>
    </row>
    <row r="788" spans="1:7" ht="18.75" x14ac:dyDescent="0.3">
      <c r="A788" s="3"/>
      <c r="B788" s="4"/>
      <c r="C788" s="5"/>
      <c r="D788" s="5"/>
      <c r="E788" s="3"/>
    </row>
    <row r="789" spans="1:7" ht="18.75" x14ac:dyDescent="0.3">
      <c r="A789" s="3"/>
      <c r="B789" s="4"/>
      <c r="C789" s="5"/>
      <c r="D789" s="5"/>
      <c r="E789" s="3"/>
    </row>
    <row r="790" spans="1:7" ht="18.75" x14ac:dyDescent="0.3">
      <c r="A790" s="3"/>
      <c r="B790" s="4"/>
      <c r="C790" s="5"/>
      <c r="D790" s="5"/>
      <c r="E790" s="3"/>
    </row>
    <row r="791" spans="1:7" ht="18.75" x14ac:dyDescent="0.3">
      <c r="A791" s="3"/>
      <c r="B791" s="4"/>
      <c r="C791" s="5"/>
      <c r="D791" s="5"/>
      <c r="E791" s="37"/>
    </row>
    <row r="792" spans="1:7" ht="18.75" x14ac:dyDescent="0.3">
      <c r="A792" s="3"/>
      <c r="B792" s="4"/>
      <c r="C792" s="5"/>
      <c r="D792" s="5"/>
      <c r="E792" s="37"/>
    </row>
    <row r="795" spans="1:7" ht="18.75" x14ac:dyDescent="0.3">
      <c r="A795" s="35" t="s">
        <v>0</v>
      </c>
      <c r="B795" s="35" t="s">
        <v>1</v>
      </c>
      <c r="C795" s="35" t="s">
        <v>2</v>
      </c>
      <c r="D795" s="35" t="s">
        <v>3</v>
      </c>
      <c r="E795" s="35" t="s">
        <v>4</v>
      </c>
      <c r="F795" s="35" t="s">
        <v>5</v>
      </c>
      <c r="G795" s="35" t="s">
        <v>6</v>
      </c>
    </row>
    <row r="796" spans="1:7" ht="18.75" x14ac:dyDescent="0.3">
      <c r="A796" s="22">
        <v>1845</v>
      </c>
      <c r="B796" s="22" t="s">
        <v>650</v>
      </c>
      <c r="C796" s="23" t="s">
        <v>651</v>
      </c>
      <c r="D796" s="24">
        <v>1920</v>
      </c>
      <c r="E796" s="22">
        <v>900</v>
      </c>
      <c r="F796" s="25" t="s">
        <v>634</v>
      </c>
      <c r="G796" s="26">
        <f>D796*E796</f>
        <v>1728000</v>
      </c>
    </row>
    <row r="797" spans="1:7" ht="18.75" x14ac:dyDescent="0.3">
      <c r="A797" s="1" t="s">
        <v>7</v>
      </c>
      <c r="B797" s="7">
        <v>5.4</v>
      </c>
      <c r="C797" s="48" t="s">
        <v>3</v>
      </c>
      <c r="D797" s="48" t="s">
        <v>8</v>
      </c>
      <c r="E797" s="46">
        <v>1036800</v>
      </c>
      <c r="F797" s="10"/>
      <c r="G797" s="11">
        <v>691200</v>
      </c>
    </row>
    <row r="798" spans="1:7" ht="18.75" x14ac:dyDescent="0.3">
      <c r="A798" s="2" t="s">
        <v>417</v>
      </c>
      <c r="B798" s="12">
        <v>65</v>
      </c>
      <c r="C798" s="5">
        <v>640</v>
      </c>
      <c r="D798" s="50">
        <f t="shared" ref="D798:D806" si="19">B798*C798</f>
        <v>41600</v>
      </c>
      <c r="E798" s="21">
        <v>0.6</v>
      </c>
      <c r="F798" s="10"/>
      <c r="G798" s="21">
        <v>0.4</v>
      </c>
    </row>
    <row r="799" spans="1:7" ht="18.75" x14ac:dyDescent="0.3">
      <c r="A799" s="2" t="s">
        <v>418</v>
      </c>
      <c r="B799" s="12">
        <v>60</v>
      </c>
      <c r="C799" s="3">
        <v>1920</v>
      </c>
      <c r="D799" s="50">
        <f t="shared" si="19"/>
        <v>115200</v>
      </c>
      <c r="E799" s="10"/>
      <c r="F799" s="10"/>
      <c r="G799" s="10"/>
    </row>
    <row r="800" spans="1:7" ht="18.75" x14ac:dyDescent="0.3">
      <c r="A800" s="2" t="s">
        <v>628</v>
      </c>
      <c r="B800" s="12">
        <v>150</v>
      </c>
      <c r="C800" s="3">
        <v>1920</v>
      </c>
      <c r="D800" s="50">
        <f t="shared" si="19"/>
        <v>288000</v>
      </c>
      <c r="E800" s="10"/>
      <c r="F800" s="10"/>
      <c r="G800" s="10"/>
    </row>
    <row r="801" spans="1:7" ht="18.75" x14ac:dyDescent="0.3">
      <c r="A801" s="2" t="s">
        <v>61</v>
      </c>
      <c r="B801" s="12">
        <v>66</v>
      </c>
      <c r="C801" s="5">
        <v>1920</v>
      </c>
      <c r="D801" s="50">
        <f t="shared" si="19"/>
        <v>126720</v>
      </c>
      <c r="E801" s="10"/>
      <c r="F801" s="10"/>
      <c r="G801" s="10"/>
    </row>
    <row r="802" spans="1:7" ht="18.75" x14ac:dyDescent="0.3">
      <c r="A802" s="2" t="s">
        <v>629</v>
      </c>
      <c r="B802" s="12">
        <v>70</v>
      </c>
      <c r="C802" s="3">
        <v>1920</v>
      </c>
      <c r="D802" s="50">
        <f t="shared" si="19"/>
        <v>134400</v>
      </c>
      <c r="E802" s="10"/>
      <c r="F802" s="10"/>
      <c r="G802" s="14">
        <f>E797-D812-D813-D814-D815-D816-D817-D818-D819-D820-D821-D822-D823-D824-D825-D826-D827-D828-D829-D830-D831-D832-D833-D834-D834</f>
        <v>718080</v>
      </c>
    </row>
    <row r="803" spans="1:7" ht="18.75" x14ac:dyDescent="0.3">
      <c r="A803" s="2" t="s">
        <v>41</v>
      </c>
      <c r="B803" s="12">
        <v>94</v>
      </c>
      <c r="C803" s="3">
        <v>1920</v>
      </c>
      <c r="D803" s="50">
        <f t="shared" si="19"/>
        <v>180480</v>
      </c>
      <c r="E803" s="10"/>
      <c r="F803" s="10"/>
      <c r="G803" s="10"/>
    </row>
    <row r="804" spans="1:7" ht="18.75" x14ac:dyDescent="0.3">
      <c r="A804" s="2" t="s">
        <v>670</v>
      </c>
      <c r="B804" s="12">
        <v>35</v>
      </c>
      <c r="C804" s="3">
        <v>1920</v>
      </c>
      <c r="D804" s="50">
        <f t="shared" si="19"/>
        <v>67200</v>
      </c>
      <c r="E804" s="10"/>
      <c r="F804" s="10"/>
    </row>
    <row r="805" spans="1:7" ht="18.75" x14ac:dyDescent="0.3">
      <c r="A805" s="2"/>
      <c r="B805" s="15"/>
      <c r="C805" s="3"/>
      <c r="D805" s="50">
        <f t="shared" si="19"/>
        <v>0</v>
      </c>
      <c r="E805" s="10"/>
      <c r="F805" s="10"/>
    </row>
    <row r="806" spans="1:7" ht="18.75" x14ac:dyDescent="0.3">
      <c r="A806" s="2"/>
      <c r="B806" s="15"/>
      <c r="C806" s="3"/>
      <c r="D806" s="50">
        <f t="shared" si="19"/>
        <v>0</v>
      </c>
      <c r="E806" s="10"/>
      <c r="F806" s="16"/>
    </row>
    <row r="807" spans="1:7" ht="18.75" x14ac:dyDescent="0.3">
      <c r="A807" s="2"/>
      <c r="B807" s="15"/>
      <c r="C807" s="3"/>
      <c r="D807" s="50"/>
      <c r="E807" s="10"/>
      <c r="F807" s="17"/>
    </row>
    <row r="808" spans="1:7" ht="18.75" x14ac:dyDescent="0.3">
      <c r="A808" s="2"/>
      <c r="B808" s="12"/>
      <c r="C808" s="3"/>
      <c r="D808" s="50"/>
      <c r="E808" s="10"/>
      <c r="F808" s="10"/>
    </row>
    <row r="809" spans="1:7" ht="18.75" x14ac:dyDescent="0.3">
      <c r="A809" s="2"/>
      <c r="B809" s="12"/>
      <c r="C809" s="3"/>
      <c r="D809" s="50"/>
      <c r="E809" s="10"/>
      <c r="F809" s="10"/>
    </row>
    <row r="810" spans="1:7" ht="18.75" x14ac:dyDescent="0.3">
      <c r="A810" s="18"/>
      <c r="B810" s="19"/>
      <c r="C810" s="20"/>
      <c r="D810" s="13"/>
      <c r="E810" s="10"/>
      <c r="F810" s="10"/>
    </row>
    <row r="811" spans="1:7" ht="18.75" x14ac:dyDescent="0.3">
      <c r="A811" s="1" t="s">
        <v>10</v>
      </c>
      <c r="B811" s="1" t="s">
        <v>11</v>
      </c>
      <c r="C811" s="1" t="s">
        <v>12</v>
      </c>
      <c r="D811" s="1" t="s">
        <v>13</v>
      </c>
      <c r="E811" s="1" t="s">
        <v>14</v>
      </c>
      <c r="F811" s="10"/>
    </row>
    <row r="812" spans="1:7" ht="18.75" x14ac:dyDescent="0.3">
      <c r="A812" s="3" t="s">
        <v>15</v>
      </c>
      <c r="B812" s="4" t="s">
        <v>646</v>
      </c>
      <c r="C812" s="3">
        <v>640</v>
      </c>
      <c r="D812" s="58">
        <v>41600</v>
      </c>
      <c r="E812" s="3"/>
      <c r="F812" s="10"/>
    </row>
    <row r="813" spans="1:7" ht="18.75" x14ac:dyDescent="0.3">
      <c r="A813" s="3" t="s">
        <v>16</v>
      </c>
      <c r="B813" s="4" t="s">
        <v>647</v>
      </c>
      <c r="C813" s="3">
        <v>640</v>
      </c>
      <c r="D813" s="58">
        <v>41600</v>
      </c>
      <c r="E813" s="5"/>
      <c r="F813" s="10"/>
    </row>
    <row r="814" spans="1:7" ht="18.75" x14ac:dyDescent="0.3">
      <c r="A814" s="3" t="s">
        <v>42</v>
      </c>
      <c r="B814" s="4" t="s">
        <v>648</v>
      </c>
      <c r="C814" s="3">
        <v>640</v>
      </c>
      <c r="D814" s="58">
        <v>41600</v>
      </c>
      <c r="E814" s="5"/>
      <c r="F814" s="10"/>
    </row>
    <row r="815" spans="1:7" ht="18.75" x14ac:dyDescent="0.3">
      <c r="A815" s="3" t="s">
        <v>17</v>
      </c>
      <c r="B815" s="4" t="s">
        <v>649</v>
      </c>
      <c r="C815" s="5">
        <v>1920</v>
      </c>
      <c r="D815" s="58">
        <v>126720</v>
      </c>
      <c r="E815" s="3"/>
      <c r="F815" s="10"/>
    </row>
    <row r="816" spans="1:7" ht="18.75" x14ac:dyDescent="0.3">
      <c r="A816" s="6" t="s">
        <v>379</v>
      </c>
      <c r="B816" s="4" t="s">
        <v>653</v>
      </c>
      <c r="C816" s="3"/>
      <c r="D816" s="58"/>
      <c r="E816" s="5"/>
      <c r="F816" s="10"/>
    </row>
    <row r="817" spans="1:6" ht="18.75" x14ac:dyDescent="0.3">
      <c r="A817" s="3"/>
      <c r="B817" s="4" t="s">
        <v>652</v>
      </c>
      <c r="C817" s="3"/>
      <c r="D817" s="58"/>
      <c r="E817" s="5"/>
      <c r="F817" s="10"/>
    </row>
    <row r="818" spans="1:6" ht="18.75" x14ac:dyDescent="0.3">
      <c r="A818" s="3" t="s">
        <v>42</v>
      </c>
      <c r="B818" s="4" t="s">
        <v>654</v>
      </c>
      <c r="C818" s="3"/>
      <c r="D818" s="58"/>
      <c r="E818" s="5"/>
      <c r="F818" s="10"/>
    </row>
    <row r="819" spans="1:6" ht="18.75" x14ac:dyDescent="0.3">
      <c r="A819" s="3" t="s">
        <v>41</v>
      </c>
      <c r="B819" s="4" t="s">
        <v>655</v>
      </c>
      <c r="C819" s="3">
        <v>1920</v>
      </c>
      <c r="D819" s="58"/>
      <c r="E819" s="3"/>
      <c r="F819" s="10"/>
    </row>
    <row r="820" spans="1:6" ht="18.75" x14ac:dyDescent="0.3">
      <c r="A820" s="3" t="s">
        <v>113</v>
      </c>
      <c r="B820" s="3" t="s">
        <v>163</v>
      </c>
      <c r="C820" s="3">
        <v>1920</v>
      </c>
      <c r="D820" s="58">
        <v>67200</v>
      </c>
      <c r="E820" s="3"/>
      <c r="F820" s="10"/>
    </row>
    <row r="821" spans="1:6" ht="18.75" x14ac:dyDescent="0.3">
      <c r="A821" s="3"/>
      <c r="B821" s="4"/>
      <c r="C821" s="3"/>
      <c r="D821" s="58"/>
      <c r="E821" s="3"/>
      <c r="F821" s="10"/>
    </row>
    <row r="822" spans="1:6" ht="18.75" x14ac:dyDescent="0.3">
      <c r="A822" s="3"/>
      <c r="B822" s="4"/>
      <c r="C822" s="3"/>
      <c r="D822" s="58"/>
      <c r="E822" s="3"/>
      <c r="F822" s="10"/>
    </row>
    <row r="823" spans="1:6" ht="18.75" x14ac:dyDescent="0.3">
      <c r="A823" s="3"/>
      <c r="B823" s="4"/>
      <c r="C823" s="3"/>
      <c r="D823" s="58"/>
      <c r="E823" s="3"/>
      <c r="F823" s="10"/>
    </row>
    <row r="824" spans="1:6" ht="18.75" x14ac:dyDescent="0.3">
      <c r="A824" s="3"/>
      <c r="B824" s="4"/>
      <c r="C824" s="3"/>
      <c r="D824" s="5"/>
      <c r="E824" s="3" t="s">
        <v>249</v>
      </c>
      <c r="F824" s="10"/>
    </row>
    <row r="825" spans="1:6" ht="18.75" x14ac:dyDescent="0.3">
      <c r="A825" s="3"/>
      <c r="B825" s="4"/>
      <c r="C825" s="3"/>
      <c r="D825" s="5"/>
      <c r="E825" s="3"/>
      <c r="F825" s="10"/>
    </row>
    <row r="826" spans="1:6" ht="18.75" x14ac:dyDescent="0.3">
      <c r="A826" s="3"/>
      <c r="B826" s="4"/>
      <c r="C826" s="3"/>
      <c r="D826" s="5"/>
      <c r="E826" s="3"/>
      <c r="F826" s="10"/>
    </row>
    <row r="827" spans="1:6" ht="18.75" x14ac:dyDescent="0.3">
      <c r="A827" s="3"/>
      <c r="B827" s="4"/>
      <c r="C827" s="5"/>
      <c r="D827" s="5"/>
      <c r="E827" s="3"/>
      <c r="F827" s="10"/>
    </row>
    <row r="828" spans="1:6" ht="18.75" x14ac:dyDescent="0.3">
      <c r="A828" s="3"/>
      <c r="B828" s="4"/>
      <c r="C828" s="5"/>
      <c r="D828" s="5"/>
      <c r="E828" s="3"/>
    </row>
    <row r="829" spans="1:6" ht="18.75" x14ac:dyDescent="0.3">
      <c r="A829" s="3"/>
      <c r="B829" s="4"/>
      <c r="C829" s="5"/>
      <c r="D829" s="5"/>
      <c r="E829" s="3"/>
    </row>
    <row r="830" spans="1:6" ht="18.75" x14ac:dyDescent="0.3">
      <c r="A830" s="3"/>
      <c r="B830" s="4"/>
      <c r="C830" s="5"/>
      <c r="D830" s="5"/>
      <c r="E830" s="3"/>
    </row>
    <row r="831" spans="1:6" ht="18.75" x14ac:dyDescent="0.3">
      <c r="A831" s="3"/>
      <c r="B831" s="4"/>
      <c r="C831" s="5"/>
      <c r="D831" s="5"/>
      <c r="E831" s="3"/>
    </row>
    <row r="832" spans="1:6" ht="18.75" x14ac:dyDescent="0.3">
      <c r="A832" s="3"/>
      <c r="B832" s="4"/>
      <c r="C832" s="5"/>
      <c r="D832" s="5"/>
      <c r="E832" s="3"/>
    </row>
    <row r="833" spans="1:7" ht="18.75" x14ac:dyDescent="0.3">
      <c r="A833" s="3"/>
      <c r="B833" s="4"/>
      <c r="C833" s="5"/>
      <c r="D833" s="5"/>
      <c r="E833" s="37"/>
    </row>
    <row r="834" spans="1:7" ht="18.75" x14ac:dyDescent="0.3">
      <c r="A834" s="3"/>
      <c r="B834" s="4"/>
      <c r="C834" s="5"/>
      <c r="D834" s="5"/>
      <c r="E834" s="37"/>
    </row>
    <row r="836" spans="1:7" x14ac:dyDescent="0.25">
      <c r="B836" s="134" t="s">
        <v>686</v>
      </c>
      <c r="C836" s="134"/>
      <c r="D836" s="134"/>
    </row>
    <row r="837" spans="1:7" x14ac:dyDescent="0.25">
      <c r="B837" s="134"/>
      <c r="C837" s="134"/>
      <c r="D837" s="134"/>
    </row>
    <row r="838" spans="1:7" ht="18.75" x14ac:dyDescent="0.3">
      <c r="A838" s="35" t="s">
        <v>0</v>
      </c>
      <c r="B838" s="35" t="s">
        <v>1</v>
      </c>
      <c r="C838" s="35" t="s">
        <v>2</v>
      </c>
      <c r="D838" s="35" t="s">
        <v>3</v>
      </c>
      <c r="E838" s="35" t="s">
        <v>4</v>
      </c>
      <c r="F838" s="35" t="s">
        <v>5</v>
      </c>
      <c r="G838" s="35" t="s">
        <v>6</v>
      </c>
    </row>
    <row r="839" spans="1:7" ht="18.75" x14ac:dyDescent="0.3">
      <c r="A839" s="22">
        <v>1842</v>
      </c>
      <c r="B839" s="22" t="s">
        <v>19</v>
      </c>
      <c r="C839" s="23" t="s">
        <v>657</v>
      </c>
      <c r="D839" s="24">
        <v>1404</v>
      </c>
      <c r="E839" s="22">
        <v>900</v>
      </c>
      <c r="F839" s="25" t="s">
        <v>151</v>
      </c>
      <c r="G839" s="26">
        <f>D839*E839</f>
        <v>1263600</v>
      </c>
    </row>
    <row r="840" spans="1:7" ht="18.75" x14ac:dyDescent="0.3">
      <c r="A840" s="1" t="s">
        <v>7</v>
      </c>
      <c r="B840" s="7">
        <v>5.4</v>
      </c>
      <c r="C840" s="48" t="s">
        <v>3</v>
      </c>
      <c r="D840" s="48" t="s">
        <v>8</v>
      </c>
      <c r="E840" s="46">
        <v>758160</v>
      </c>
      <c r="F840" s="10"/>
      <c r="G840" s="11">
        <v>505404</v>
      </c>
    </row>
    <row r="841" spans="1:7" ht="18.75" x14ac:dyDescent="0.3">
      <c r="A841" s="2" t="s">
        <v>630</v>
      </c>
      <c r="B841" s="12">
        <v>80</v>
      </c>
      <c r="C841" s="5">
        <v>1404</v>
      </c>
      <c r="D841" s="50">
        <f t="shared" ref="D841:D849" si="20">B841*C841</f>
        <v>112320</v>
      </c>
      <c r="E841" s="21">
        <v>0.6</v>
      </c>
      <c r="F841" s="10"/>
      <c r="G841" s="21">
        <v>0.4</v>
      </c>
    </row>
    <row r="842" spans="1:7" ht="18.75" x14ac:dyDescent="0.3">
      <c r="A842" s="2" t="s">
        <v>631</v>
      </c>
      <c r="B842" s="12">
        <v>95</v>
      </c>
      <c r="C842" s="3">
        <v>1404</v>
      </c>
      <c r="D842" s="50">
        <f t="shared" si="20"/>
        <v>133380</v>
      </c>
      <c r="E842" s="10"/>
      <c r="F842" s="10"/>
      <c r="G842" s="10"/>
    </row>
    <row r="843" spans="1:7" ht="18.75" x14ac:dyDescent="0.3">
      <c r="A843" s="2" t="s">
        <v>396</v>
      </c>
      <c r="B843" s="12">
        <v>80</v>
      </c>
      <c r="C843" s="3">
        <v>1404</v>
      </c>
      <c r="D843" s="50">
        <f t="shared" si="20"/>
        <v>112320</v>
      </c>
      <c r="E843" s="10"/>
      <c r="F843" s="10"/>
      <c r="G843" s="10"/>
    </row>
    <row r="844" spans="1:7" ht="18.75" x14ac:dyDescent="0.3">
      <c r="A844" s="2" t="s">
        <v>339</v>
      </c>
      <c r="B844" s="12">
        <v>65</v>
      </c>
      <c r="C844" s="5">
        <v>1404</v>
      </c>
      <c r="D844" s="50">
        <f t="shared" si="20"/>
        <v>91260</v>
      </c>
      <c r="E844" s="10"/>
      <c r="F844" s="10"/>
      <c r="G844" s="10"/>
    </row>
    <row r="845" spans="1:7" ht="18.75" x14ac:dyDescent="0.3">
      <c r="A845" s="2" t="s">
        <v>488</v>
      </c>
      <c r="B845" s="12">
        <v>60</v>
      </c>
      <c r="C845" s="3">
        <v>1404</v>
      </c>
      <c r="D845" s="50">
        <f t="shared" si="20"/>
        <v>84240</v>
      </c>
      <c r="E845" s="10"/>
      <c r="F845" s="10"/>
      <c r="G845" s="14">
        <f>E840-D855-D856-D857-D858-D859-D860-D861-D862-D863-D864-D865-D866-D867-D868-D869-D870-D871-D872-D873-D874-D875-D876-D877-D877</f>
        <v>44460</v>
      </c>
    </row>
    <row r="846" spans="1:7" ht="18.75" x14ac:dyDescent="0.3">
      <c r="A846" s="2" t="s">
        <v>632</v>
      </c>
      <c r="B846" s="12">
        <v>43</v>
      </c>
      <c r="C846" s="3">
        <v>1404</v>
      </c>
      <c r="D846" s="50">
        <f t="shared" si="20"/>
        <v>60372</v>
      </c>
      <c r="E846" s="10"/>
      <c r="F846" s="10"/>
      <c r="G846" s="10"/>
    </row>
    <row r="847" spans="1:7" ht="18.75" x14ac:dyDescent="0.3">
      <c r="A847" s="2" t="s">
        <v>41</v>
      </c>
      <c r="B847" s="12">
        <v>117</v>
      </c>
      <c r="C847" s="3">
        <v>1404</v>
      </c>
      <c r="D847" s="50">
        <f t="shared" si="20"/>
        <v>164268</v>
      </c>
      <c r="E847" s="10"/>
      <c r="F847" s="10"/>
    </row>
    <row r="848" spans="1:7" ht="18.75" x14ac:dyDescent="0.3">
      <c r="A848" s="2"/>
      <c r="B848" s="15"/>
      <c r="C848" s="3"/>
      <c r="D848" s="50">
        <f t="shared" si="20"/>
        <v>0</v>
      </c>
      <c r="E848" s="10"/>
      <c r="F848" s="10"/>
    </row>
    <row r="849" spans="1:6" ht="18.75" x14ac:dyDescent="0.3">
      <c r="A849" s="2"/>
      <c r="B849" s="15"/>
      <c r="C849" s="3"/>
      <c r="D849" s="50">
        <f t="shared" si="20"/>
        <v>0</v>
      </c>
      <c r="E849" s="10"/>
      <c r="F849" s="16"/>
    </row>
    <row r="850" spans="1:6" ht="18.75" x14ac:dyDescent="0.3">
      <c r="A850" s="2"/>
      <c r="B850" s="15"/>
      <c r="C850" s="3"/>
      <c r="D850" s="50"/>
      <c r="E850" s="10"/>
      <c r="F850" s="17"/>
    </row>
    <row r="851" spans="1:6" ht="18.75" x14ac:dyDescent="0.3">
      <c r="A851" s="2"/>
      <c r="B851" s="12"/>
      <c r="C851" s="3"/>
      <c r="D851" s="50"/>
      <c r="E851" s="10"/>
      <c r="F851" s="10"/>
    </row>
    <row r="852" spans="1:6" ht="18.75" x14ac:dyDescent="0.3">
      <c r="A852" s="2"/>
      <c r="B852" s="12"/>
      <c r="C852" s="3"/>
      <c r="D852" s="50"/>
      <c r="E852" s="10"/>
      <c r="F852" s="10"/>
    </row>
    <row r="853" spans="1:6" ht="18.75" x14ac:dyDescent="0.3">
      <c r="A853" s="18"/>
      <c r="B853" s="19"/>
      <c r="C853" s="20"/>
      <c r="D853" s="13"/>
      <c r="E853" s="10"/>
      <c r="F853" s="10"/>
    </row>
    <row r="854" spans="1:6" ht="18.75" x14ac:dyDescent="0.3">
      <c r="A854" s="1" t="s">
        <v>10</v>
      </c>
      <c r="B854" s="1" t="s">
        <v>11</v>
      </c>
      <c r="C854" s="1" t="s">
        <v>12</v>
      </c>
      <c r="D854" s="1" t="s">
        <v>13</v>
      </c>
      <c r="E854" s="1" t="s">
        <v>14</v>
      </c>
      <c r="F854" s="10"/>
    </row>
    <row r="855" spans="1:6" ht="18.75" x14ac:dyDescent="0.3">
      <c r="A855" s="3" t="s">
        <v>42</v>
      </c>
      <c r="B855" s="4" t="s">
        <v>662</v>
      </c>
      <c r="C855" s="3">
        <v>1404</v>
      </c>
      <c r="D855" s="58">
        <v>84240</v>
      </c>
      <c r="E855" s="3"/>
      <c r="F855" s="10"/>
    </row>
    <row r="856" spans="1:6" ht="18.75" x14ac:dyDescent="0.3">
      <c r="A856" s="3" t="s">
        <v>16</v>
      </c>
      <c r="B856" s="4" t="s">
        <v>663</v>
      </c>
      <c r="C856" s="3">
        <v>702</v>
      </c>
      <c r="D856" s="58">
        <v>56160</v>
      </c>
      <c r="E856" s="5"/>
      <c r="F856" s="10"/>
    </row>
    <row r="857" spans="1:6" ht="18.75" x14ac:dyDescent="0.3">
      <c r="A857" s="3" t="s">
        <v>16</v>
      </c>
      <c r="B857" s="4" t="s">
        <v>665</v>
      </c>
      <c r="C857" s="3">
        <v>702</v>
      </c>
      <c r="D857" s="58">
        <v>44460</v>
      </c>
      <c r="E857" s="5"/>
      <c r="F857" s="10"/>
    </row>
    <row r="858" spans="1:6" ht="18.75" x14ac:dyDescent="0.3">
      <c r="A858" s="3" t="s">
        <v>15</v>
      </c>
      <c r="B858" s="4" t="s">
        <v>664</v>
      </c>
      <c r="C858" s="5">
        <v>702</v>
      </c>
      <c r="D858" s="58">
        <v>56160</v>
      </c>
      <c r="E858" s="3"/>
      <c r="F858" s="10"/>
    </row>
    <row r="859" spans="1:6" ht="18.75" x14ac:dyDescent="0.3">
      <c r="A859" s="6" t="s">
        <v>15</v>
      </c>
      <c r="B859" s="4" t="s">
        <v>665</v>
      </c>
      <c r="C859" s="3">
        <v>702</v>
      </c>
      <c r="D859" s="58">
        <v>44460</v>
      </c>
      <c r="E859" s="5"/>
      <c r="F859" s="10"/>
    </row>
    <row r="860" spans="1:6" ht="18.75" x14ac:dyDescent="0.3">
      <c r="A860" s="3" t="s">
        <v>17</v>
      </c>
      <c r="B860" s="4" t="s">
        <v>666</v>
      </c>
      <c r="C860" s="3">
        <v>1404</v>
      </c>
      <c r="D860" s="58">
        <v>112320</v>
      </c>
      <c r="E860" s="5"/>
      <c r="F860" s="10"/>
    </row>
    <row r="861" spans="1:6" ht="18.75" x14ac:dyDescent="0.3">
      <c r="A861" s="3" t="s">
        <v>15</v>
      </c>
      <c r="B861" s="4" t="s">
        <v>690</v>
      </c>
      <c r="C861" s="3">
        <v>1404</v>
      </c>
      <c r="D861" s="58">
        <v>60372</v>
      </c>
      <c r="E861" s="5"/>
      <c r="F861" s="10"/>
    </row>
    <row r="862" spans="1:6" ht="18.75" x14ac:dyDescent="0.3">
      <c r="A862" s="3" t="s">
        <v>67</v>
      </c>
      <c r="B862" s="4" t="s">
        <v>67</v>
      </c>
      <c r="C862" s="3">
        <v>1404</v>
      </c>
      <c r="D862" s="58">
        <v>164268</v>
      </c>
      <c r="E862" s="3"/>
      <c r="F862" s="10"/>
    </row>
    <row r="863" spans="1:6" ht="18.75" x14ac:dyDescent="0.3">
      <c r="A863" s="3" t="s">
        <v>17</v>
      </c>
      <c r="B863" s="4" t="s">
        <v>691</v>
      </c>
      <c r="C863" s="3">
        <v>1404</v>
      </c>
      <c r="D863" s="58">
        <v>91260</v>
      </c>
      <c r="E863" s="3"/>
      <c r="F863" s="10"/>
    </row>
    <row r="864" spans="1:6" ht="18.75" x14ac:dyDescent="0.3">
      <c r="A864" s="3"/>
      <c r="B864" s="4"/>
      <c r="C864" s="3"/>
      <c r="D864" s="58"/>
      <c r="E864" s="3"/>
      <c r="F864" s="10"/>
    </row>
    <row r="865" spans="1:6" ht="18.75" x14ac:dyDescent="0.3">
      <c r="A865" s="3"/>
      <c r="B865" s="4"/>
      <c r="C865" s="3"/>
      <c r="D865" s="58"/>
      <c r="E865" s="3"/>
      <c r="F865" s="10"/>
    </row>
    <row r="866" spans="1:6" ht="18.75" x14ac:dyDescent="0.3">
      <c r="A866" s="3"/>
      <c r="B866" s="4"/>
      <c r="C866" s="3"/>
      <c r="D866" s="58"/>
      <c r="E866" s="3"/>
      <c r="F866" s="10"/>
    </row>
    <row r="867" spans="1:6" ht="18.75" x14ac:dyDescent="0.3">
      <c r="A867" s="3"/>
      <c r="B867" s="4"/>
      <c r="C867" s="3"/>
      <c r="D867" s="5"/>
      <c r="E867" s="3" t="s">
        <v>249</v>
      </c>
      <c r="F867" s="10"/>
    </row>
    <row r="868" spans="1:6" ht="18.75" x14ac:dyDescent="0.3">
      <c r="A868" s="3"/>
      <c r="B868" s="4"/>
      <c r="C868" s="3"/>
      <c r="D868" s="5"/>
      <c r="E868" s="3"/>
      <c r="F868" s="10"/>
    </row>
    <row r="869" spans="1:6" ht="18.75" x14ac:dyDescent="0.3">
      <c r="A869" s="3"/>
      <c r="B869" s="4"/>
      <c r="C869" s="3"/>
      <c r="D869" s="5"/>
      <c r="E869" s="3"/>
      <c r="F869" s="10"/>
    </row>
    <row r="870" spans="1:6" ht="18.75" x14ac:dyDescent="0.3">
      <c r="A870" s="3"/>
      <c r="B870" s="4"/>
      <c r="C870" s="5"/>
      <c r="D870" s="5"/>
      <c r="E870" s="3"/>
      <c r="F870" s="10"/>
    </row>
    <row r="871" spans="1:6" ht="18.75" x14ac:dyDescent="0.3">
      <c r="A871" s="3"/>
      <c r="B871" s="4"/>
      <c r="C871" s="5"/>
      <c r="D871" s="5"/>
      <c r="E871" s="3"/>
    </row>
    <row r="872" spans="1:6" ht="18.75" x14ac:dyDescent="0.3">
      <c r="A872" s="3"/>
      <c r="B872" s="4"/>
      <c r="C872" s="5"/>
      <c r="D872" s="5"/>
      <c r="E872" s="3"/>
    </row>
    <row r="873" spans="1:6" ht="18.75" x14ac:dyDescent="0.3">
      <c r="A873" s="3"/>
      <c r="B873" s="4"/>
      <c r="C873" s="5"/>
      <c r="D873" s="5"/>
      <c r="E873" s="3"/>
    </row>
    <row r="874" spans="1:6" ht="18.75" x14ac:dyDescent="0.3">
      <c r="A874" s="3"/>
      <c r="B874" s="4"/>
      <c r="C874" s="5"/>
      <c r="D874" s="5"/>
      <c r="E874" s="3"/>
    </row>
    <row r="875" spans="1:6" ht="18.75" x14ac:dyDescent="0.3">
      <c r="A875" s="3"/>
      <c r="B875" s="4"/>
      <c r="C875" s="5"/>
      <c r="D875" s="5"/>
      <c r="E875" s="3"/>
    </row>
    <row r="876" spans="1:6" ht="18.75" x14ac:dyDescent="0.3">
      <c r="A876" s="3"/>
      <c r="B876" s="4"/>
      <c r="C876" s="5"/>
      <c r="D876" s="5"/>
      <c r="E876" s="37"/>
    </row>
    <row r="877" spans="1:6" ht="18.75" x14ac:dyDescent="0.3">
      <c r="A877" s="3"/>
      <c r="B877" s="4"/>
      <c r="C877" s="5"/>
      <c r="D877" s="5"/>
      <c r="E877" s="37"/>
    </row>
    <row r="881" spans="1:7" ht="18.75" x14ac:dyDescent="0.3">
      <c r="A881" s="35" t="s">
        <v>0</v>
      </c>
      <c r="B881" s="35" t="s">
        <v>1</v>
      </c>
      <c r="C881" s="35" t="s">
        <v>2</v>
      </c>
      <c r="D881" s="35" t="s">
        <v>3</v>
      </c>
      <c r="E881" s="35" t="s">
        <v>4</v>
      </c>
      <c r="F881" s="35" t="s">
        <v>5</v>
      </c>
      <c r="G881" s="35" t="s">
        <v>6</v>
      </c>
    </row>
    <row r="882" spans="1:7" ht="18.75" x14ac:dyDescent="0.3">
      <c r="A882" s="22">
        <v>1843</v>
      </c>
      <c r="B882" s="22" t="s">
        <v>19</v>
      </c>
      <c r="C882" s="22" t="s">
        <v>656</v>
      </c>
      <c r="D882" s="24">
        <v>1404</v>
      </c>
      <c r="E882" s="22">
        <v>900</v>
      </c>
      <c r="F882" s="25" t="s">
        <v>151</v>
      </c>
      <c r="G882" s="26">
        <f>D882*E882</f>
        <v>1263600</v>
      </c>
    </row>
    <row r="883" spans="1:7" ht="18.75" x14ac:dyDescent="0.3">
      <c r="A883" s="1" t="s">
        <v>7</v>
      </c>
      <c r="B883" s="7">
        <v>5.4</v>
      </c>
      <c r="C883" s="48" t="s">
        <v>3</v>
      </c>
      <c r="D883" s="48" t="s">
        <v>8</v>
      </c>
      <c r="E883" s="46">
        <v>758160</v>
      </c>
      <c r="F883" s="10"/>
      <c r="G883" s="11">
        <v>505404</v>
      </c>
    </row>
    <row r="884" spans="1:7" ht="18.75" x14ac:dyDescent="0.3">
      <c r="A884" s="2" t="s">
        <v>417</v>
      </c>
      <c r="B884" s="12">
        <v>65</v>
      </c>
      <c r="C884" s="5">
        <v>1404</v>
      </c>
      <c r="D884" s="50">
        <f t="shared" ref="D884:D892" si="21">B884*C884</f>
        <v>91260</v>
      </c>
      <c r="E884" s="21">
        <v>0.6</v>
      </c>
      <c r="F884" s="10"/>
      <c r="G884" s="21">
        <v>0.4</v>
      </c>
    </row>
    <row r="885" spans="1:7" ht="18.75" x14ac:dyDescent="0.3">
      <c r="A885" s="2" t="s">
        <v>418</v>
      </c>
      <c r="B885" s="12">
        <v>60</v>
      </c>
      <c r="C885" s="3">
        <v>1404</v>
      </c>
      <c r="D885" s="50">
        <f t="shared" si="21"/>
        <v>84240</v>
      </c>
      <c r="E885" s="10"/>
      <c r="F885" s="10"/>
      <c r="G885" s="10"/>
    </row>
    <row r="886" spans="1:7" ht="18.75" x14ac:dyDescent="0.3">
      <c r="A886" s="2" t="s">
        <v>628</v>
      </c>
      <c r="B886" s="12">
        <v>120</v>
      </c>
      <c r="C886" s="3">
        <v>1404</v>
      </c>
      <c r="D886" s="50">
        <f t="shared" si="21"/>
        <v>168480</v>
      </c>
      <c r="E886" s="10"/>
      <c r="F886" s="10"/>
      <c r="G886" s="10"/>
    </row>
    <row r="887" spans="1:7" ht="18.75" x14ac:dyDescent="0.3">
      <c r="A887" s="2" t="s">
        <v>61</v>
      </c>
      <c r="B887" s="12">
        <v>66</v>
      </c>
      <c r="C887" s="5">
        <v>1404</v>
      </c>
      <c r="D887" s="50">
        <f t="shared" si="21"/>
        <v>92664</v>
      </c>
      <c r="E887" s="10"/>
      <c r="F887" s="10"/>
      <c r="G887" s="10"/>
    </row>
    <row r="888" spans="1:7" ht="18.75" x14ac:dyDescent="0.3">
      <c r="A888" s="2" t="s">
        <v>629</v>
      </c>
      <c r="B888" s="12">
        <v>70</v>
      </c>
      <c r="C888" s="3">
        <v>1404</v>
      </c>
      <c r="D888" s="50">
        <f t="shared" si="21"/>
        <v>98280</v>
      </c>
      <c r="E888" s="10"/>
      <c r="F888" s="10"/>
      <c r="G888" s="14">
        <f>E883-D898-D899-D900-D901-D902-D903-D904-D905-D906-D907-D908-D909-D910-D911-D912-D913-D914-D915-D916-D917-D918-D919-D920-D920</f>
        <v>0</v>
      </c>
    </row>
    <row r="889" spans="1:7" ht="18.75" x14ac:dyDescent="0.3">
      <c r="A889" s="2" t="s">
        <v>41</v>
      </c>
      <c r="B889" s="12">
        <v>124</v>
      </c>
      <c r="C889" s="3">
        <v>1404</v>
      </c>
      <c r="D889" s="50">
        <f t="shared" si="21"/>
        <v>174096</v>
      </c>
      <c r="E889" s="10"/>
      <c r="F889" s="10"/>
      <c r="G889" s="10"/>
    </row>
    <row r="890" spans="1:7" ht="18.75" x14ac:dyDescent="0.3">
      <c r="A890" s="2" t="s">
        <v>163</v>
      </c>
      <c r="B890" s="12">
        <v>35</v>
      </c>
      <c r="C890" s="3">
        <v>1040</v>
      </c>
      <c r="D890" s="50">
        <f t="shared" si="21"/>
        <v>36400</v>
      </c>
      <c r="E890" s="10"/>
      <c r="F890" s="10"/>
    </row>
    <row r="891" spans="1:7" ht="18.75" x14ac:dyDescent="0.3">
      <c r="A891" s="2"/>
      <c r="B891" s="15"/>
      <c r="C891" s="3"/>
      <c r="D891" s="50">
        <f t="shared" si="21"/>
        <v>0</v>
      </c>
      <c r="E891" s="10"/>
      <c r="F891" s="10"/>
    </row>
    <row r="892" spans="1:7" ht="18.75" x14ac:dyDescent="0.3">
      <c r="A892" s="2"/>
      <c r="B892" s="15"/>
      <c r="C892" s="3"/>
      <c r="D892" s="50">
        <f t="shared" si="21"/>
        <v>0</v>
      </c>
      <c r="E892" s="10"/>
      <c r="F892" s="16"/>
    </row>
    <row r="893" spans="1:7" ht="18.75" x14ac:dyDescent="0.3">
      <c r="A893" s="2"/>
      <c r="B893" s="15"/>
      <c r="C893" s="3"/>
      <c r="D893" s="50"/>
      <c r="E893" s="10"/>
      <c r="F893" s="17"/>
    </row>
    <row r="894" spans="1:7" ht="18.75" x14ac:dyDescent="0.3">
      <c r="A894" s="2"/>
      <c r="B894" s="12"/>
      <c r="C894" s="3"/>
      <c r="D894" s="50"/>
      <c r="E894" s="10"/>
      <c r="F894" s="10"/>
    </row>
    <row r="895" spans="1:7" ht="18.75" x14ac:dyDescent="0.3">
      <c r="A895" s="2"/>
      <c r="B895" s="12"/>
      <c r="C895" s="3"/>
      <c r="D895" s="50"/>
      <c r="E895" s="10"/>
      <c r="F895" s="10"/>
    </row>
    <row r="896" spans="1:7" ht="18.75" x14ac:dyDescent="0.3">
      <c r="A896" s="18"/>
      <c r="B896" s="19"/>
      <c r="C896" s="20"/>
      <c r="D896" s="13"/>
      <c r="E896" s="10"/>
      <c r="F896" s="10"/>
    </row>
    <row r="897" spans="1:6" ht="18.75" x14ac:dyDescent="0.3">
      <c r="A897" s="1" t="s">
        <v>10</v>
      </c>
      <c r="B897" s="1" t="s">
        <v>11</v>
      </c>
      <c r="C897" s="1" t="s">
        <v>12</v>
      </c>
      <c r="D897" s="1" t="s">
        <v>13</v>
      </c>
      <c r="E897" s="1" t="s">
        <v>14</v>
      </c>
      <c r="F897" s="10"/>
    </row>
    <row r="898" spans="1:6" ht="18.75" x14ac:dyDescent="0.3">
      <c r="A898" s="3" t="s">
        <v>17</v>
      </c>
      <c r="B898" s="4" t="s">
        <v>667</v>
      </c>
      <c r="C898" s="84" t="s">
        <v>668</v>
      </c>
      <c r="D898" s="85">
        <v>92664</v>
      </c>
      <c r="E898" s="3"/>
      <c r="F898" s="10"/>
    </row>
    <row r="899" spans="1:6" ht="18.75" x14ac:dyDescent="0.3">
      <c r="A899" s="3" t="s">
        <v>104</v>
      </c>
      <c r="B899" s="4" t="s">
        <v>669</v>
      </c>
      <c r="C899" s="3">
        <v>1040</v>
      </c>
      <c r="D899" s="58">
        <v>91250</v>
      </c>
      <c r="E899" s="5"/>
      <c r="F899" s="10"/>
    </row>
    <row r="900" spans="1:6" ht="18.75" x14ac:dyDescent="0.3">
      <c r="A900" s="3" t="s">
        <v>300</v>
      </c>
      <c r="B900" s="4" t="s">
        <v>684</v>
      </c>
      <c r="C900" s="3">
        <v>1040</v>
      </c>
      <c r="D900" s="58">
        <v>49140</v>
      </c>
      <c r="E900" s="5"/>
      <c r="F900" s="10"/>
    </row>
    <row r="901" spans="1:6" ht="18.75" x14ac:dyDescent="0.3">
      <c r="A901" s="3" t="s">
        <v>379</v>
      </c>
      <c r="B901" s="4" t="s">
        <v>692</v>
      </c>
      <c r="C901" s="5">
        <v>1404</v>
      </c>
      <c r="D901" s="58">
        <v>168480</v>
      </c>
      <c r="E901" s="3"/>
      <c r="F901" s="10"/>
    </row>
    <row r="902" spans="1:6" ht="18.75" x14ac:dyDescent="0.3">
      <c r="A902" s="6" t="s">
        <v>379</v>
      </c>
      <c r="B902" s="4" t="s">
        <v>693</v>
      </c>
      <c r="C902" s="3">
        <v>1404</v>
      </c>
      <c r="D902" s="58">
        <v>84240</v>
      </c>
      <c r="E902" s="5"/>
      <c r="F902" s="10"/>
    </row>
    <row r="903" spans="1:6" ht="18.75" x14ac:dyDescent="0.3">
      <c r="A903" s="3" t="s">
        <v>42</v>
      </c>
      <c r="B903" s="4" t="s">
        <v>694</v>
      </c>
      <c r="C903" s="3">
        <v>1404</v>
      </c>
      <c r="D903" s="58">
        <v>98280</v>
      </c>
      <c r="E903" s="5"/>
      <c r="F903" s="10"/>
    </row>
    <row r="904" spans="1:6" ht="18.75" x14ac:dyDescent="0.3">
      <c r="A904" s="3" t="s">
        <v>67</v>
      </c>
      <c r="B904" s="4" t="s">
        <v>67</v>
      </c>
      <c r="C904" s="3">
        <v>1404</v>
      </c>
      <c r="D904" s="58">
        <v>174106</v>
      </c>
      <c r="E904" s="5"/>
      <c r="F904" s="10"/>
    </row>
    <row r="905" spans="1:6" ht="18.75" x14ac:dyDescent="0.3">
      <c r="A905" s="3"/>
      <c r="B905" s="4"/>
      <c r="C905" s="3"/>
      <c r="D905" s="58"/>
      <c r="E905" s="3"/>
      <c r="F905" s="10"/>
    </row>
    <row r="906" spans="1:6" ht="18.75" x14ac:dyDescent="0.3">
      <c r="A906" s="3"/>
      <c r="B906" s="4"/>
      <c r="C906" s="3"/>
      <c r="D906" s="58"/>
      <c r="E906" s="3"/>
      <c r="F906" s="10"/>
    </row>
    <row r="907" spans="1:6" ht="18.75" x14ac:dyDescent="0.3">
      <c r="A907" s="3"/>
      <c r="B907" s="4"/>
      <c r="C907" s="3"/>
      <c r="D907" s="58"/>
      <c r="E907" s="3"/>
      <c r="F907" s="10"/>
    </row>
    <row r="908" spans="1:6" ht="18.75" x14ac:dyDescent="0.3">
      <c r="A908" s="3"/>
      <c r="B908" s="4"/>
      <c r="C908" s="3"/>
      <c r="D908" s="58"/>
      <c r="E908" s="3"/>
      <c r="F908" s="10"/>
    </row>
    <row r="909" spans="1:6" ht="18.75" x14ac:dyDescent="0.3">
      <c r="A909" s="3"/>
      <c r="B909" s="4"/>
      <c r="C909" s="3"/>
      <c r="D909" s="58"/>
      <c r="E909" s="3"/>
      <c r="F909" s="10"/>
    </row>
    <row r="910" spans="1:6" ht="18.75" x14ac:dyDescent="0.3">
      <c r="A910" s="3"/>
      <c r="B910" s="4"/>
      <c r="C910" s="3"/>
      <c r="D910" s="5"/>
      <c r="E910" s="3" t="s">
        <v>249</v>
      </c>
      <c r="F910" s="10"/>
    </row>
    <row r="911" spans="1:6" ht="18.75" x14ac:dyDescent="0.3">
      <c r="A911" s="3"/>
      <c r="B911" s="4"/>
      <c r="C911" s="3"/>
      <c r="D911" s="5"/>
      <c r="E911" s="3"/>
      <c r="F911" s="10"/>
    </row>
    <row r="912" spans="1:6" ht="18.75" x14ac:dyDescent="0.3">
      <c r="A912" s="3"/>
      <c r="B912" s="4"/>
      <c r="C912" s="3"/>
      <c r="D912" s="5"/>
      <c r="E912" s="3"/>
      <c r="F912" s="10"/>
    </row>
    <row r="913" spans="1:7" ht="18.75" x14ac:dyDescent="0.3">
      <c r="A913" s="3"/>
      <c r="B913" s="4"/>
      <c r="C913" s="5"/>
      <c r="D913" s="5"/>
      <c r="E913" s="3"/>
      <c r="F913" s="10"/>
    </row>
    <row r="914" spans="1:7" ht="18.75" x14ac:dyDescent="0.3">
      <c r="A914" s="3"/>
      <c r="B914" s="4"/>
      <c r="C914" s="5"/>
      <c r="D914" s="5"/>
      <c r="E914" s="3"/>
    </row>
    <row r="915" spans="1:7" ht="18.75" x14ac:dyDescent="0.3">
      <c r="A915" s="3"/>
      <c r="B915" s="4"/>
      <c r="C915" s="5"/>
      <c r="D915" s="5"/>
      <c r="E915" s="3"/>
    </row>
    <row r="916" spans="1:7" ht="18.75" x14ac:dyDescent="0.3">
      <c r="A916" s="3"/>
      <c r="B916" s="4"/>
      <c r="C916" s="5"/>
      <c r="D916" s="5"/>
      <c r="E916" s="3"/>
    </row>
    <row r="917" spans="1:7" ht="18.75" x14ac:dyDescent="0.3">
      <c r="A917" s="3"/>
      <c r="B917" s="4"/>
      <c r="C917" s="5"/>
      <c r="D917" s="5"/>
      <c r="E917" s="3"/>
    </row>
    <row r="918" spans="1:7" ht="18.75" x14ac:dyDescent="0.3">
      <c r="A918" s="3"/>
      <c r="B918" s="4"/>
      <c r="C918" s="5"/>
      <c r="D918" s="5"/>
      <c r="E918" s="3"/>
    </row>
    <row r="919" spans="1:7" ht="18.75" x14ac:dyDescent="0.3">
      <c r="A919" s="3"/>
      <c r="B919" s="4"/>
      <c r="C919" s="5"/>
      <c r="D919" s="5"/>
      <c r="E919" s="37"/>
    </row>
    <row r="920" spans="1:7" ht="18.75" x14ac:dyDescent="0.3">
      <c r="A920" s="3"/>
      <c r="B920" s="4"/>
      <c r="C920" s="5"/>
      <c r="D920" s="5"/>
      <c r="E920" s="37"/>
    </row>
    <row r="924" spans="1:7" ht="18.75" x14ac:dyDescent="0.3">
      <c r="A924" s="35" t="s">
        <v>0</v>
      </c>
      <c r="B924" s="35" t="s">
        <v>1</v>
      </c>
      <c r="C924" s="35" t="s">
        <v>2</v>
      </c>
      <c r="D924" s="35" t="s">
        <v>3</v>
      </c>
      <c r="E924" s="35" t="s">
        <v>4</v>
      </c>
      <c r="F924" s="35" t="s">
        <v>5</v>
      </c>
      <c r="G924" s="35" t="s">
        <v>6</v>
      </c>
    </row>
    <row r="925" spans="1:7" ht="18.75" x14ac:dyDescent="0.3">
      <c r="A925" s="22">
        <v>1866</v>
      </c>
      <c r="B925" s="22" t="s">
        <v>19</v>
      </c>
      <c r="C925" s="23" t="s">
        <v>695</v>
      </c>
      <c r="D925" s="24">
        <v>2196</v>
      </c>
      <c r="E925" s="22">
        <v>900</v>
      </c>
      <c r="F925" s="25" t="s">
        <v>151</v>
      </c>
      <c r="G925" s="26">
        <f>D925*E925</f>
        <v>1976400</v>
      </c>
    </row>
    <row r="926" spans="1:7" ht="18.75" x14ac:dyDescent="0.3">
      <c r="A926" s="1" t="s">
        <v>7</v>
      </c>
      <c r="B926" s="7">
        <v>5.4</v>
      </c>
      <c r="C926" s="48" t="s">
        <v>3</v>
      </c>
      <c r="D926" s="48" t="s">
        <v>8</v>
      </c>
      <c r="E926" s="46">
        <v>1185840</v>
      </c>
      <c r="F926" s="10"/>
      <c r="G926" s="11">
        <v>790560</v>
      </c>
    </row>
    <row r="927" spans="1:7" ht="18.75" x14ac:dyDescent="0.3">
      <c r="A927" s="2" t="s">
        <v>630</v>
      </c>
      <c r="B927" s="12">
        <v>80</v>
      </c>
      <c r="C927" s="5">
        <v>732</v>
      </c>
      <c r="D927" s="50">
        <f t="shared" ref="D927:D935" si="22">B927*C927</f>
        <v>58560</v>
      </c>
      <c r="E927" s="21">
        <v>0.6</v>
      </c>
      <c r="F927" s="10"/>
      <c r="G927" s="21">
        <v>0.4</v>
      </c>
    </row>
    <row r="928" spans="1:7" ht="18.75" x14ac:dyDescent="0.3">
      <c r="A928" s="2" t="s">
        <v>631</v>
      </c>
      <c r="B928" s="12">
        <v>95</v>
      </c>
      <c r="C928" s="3">
        <v>732</v>
      </c>
      <c r="D928" s="50">
        <f t="shared" si="22"/>
        <v>69540</v>
      </c>
      <c r="E928" s="10"/>
      <c r="F928" s="10"/>
      <c r="G928" s="10"/>
    </row>
    <row r="929" spans="1:7" ht="18.75" x14ac:dyDescent="0.3">
      <c r="A929" s="2" t="s">
        <v>396</v>
      </c>
      <c r="B929" s="12">
        <v>80</v>
      </c>
      <c r="C929" s="3">
        <v>2196</v>
      </c>
      <c r="D929" s="50">
        <f t="shared" si="22"/>
        <v>175680</v>
      </c>
      <c r="E929" s="10"/>
      <c r="F929" s="10"/>
      <c r="G929" s="10"/>
    </row>
    <row r="930" spans="1:7" ht="18.75" x14ac:dyDescent="0.3">
      <c r="A930" s="2" t="s">
        <v>339</v>
      </c>
      <c r="B930" s="12">
        <v>65</v>
      </c>
      <c r="C930" s="5">
        <v>2196</v>
      </c>
      <c r="D930" s="50">
        <f t="shared" si="22"/>
        <v>142740</v>
      </c>
      <c r="E930" s="10"/>
      <c r="F930" s="10"/>
      <c r="G930" s="10"/>
    </row>
    <row r="931" spans="1:7" ht="18.75" x14ac:dyDescent="0.3">
      <c r="A931" s="2" t="s">
        <v>488</v>
      </c>
      <c r="B931" s="12">
        <v>60</v>
      </c>
      <c r="C931" s="3">
        <v>2196</v>
      </c>
      <c r="D931" s="50">
        <f t="shared" si="22"/>
        <v>131760</v>
      </c>
      <c r="E931" s="10"/>
      <c r="F931" s="10"/>
      <c r="G931" s="14">
        <f>E926-D941-D942-D943-D944-D945-D946-D947-D948-D949-D950-D951-D952-D953-D954-D955-D956-D957-D958-D959-D960-D961-D962-D963-D963</f>
        <v>0</v>
      </c>
    </row>
    <row r="932" spans="1:7" ht="18.75" x14ac:dyDescent="0.3">
      <c r="A932" s="2" t="s">
        <v>632</v>
      </c>
      <c r="B932" s="12">
        <v>43</v>
      </c>
      <c r="C932" s="3">
        <v>2196</v>
      </c>
      <c r="D932" s="50">
        <f t="shared" si="22"/>
        <v>94428</v>
      </c>
      <c r="E932" s="10"/>
      <c r="F932" s="10"/>
      <c r="G932" s="10"/>
    </row>
    <row r="933" spans="1:7" ht="18.75" x14ac:dyDescent="0.3">
      <c r="A933" s="2" t="s">
        <v>41</v>
      </c>
      <c r="B933" s="12">
        <v>117</v>
      </c>
      <c r="C933" s="3">
        <v>2196</v>
      </c>
      <c r="D933" s="50">
        <f t="shared" si="22"/>
        <v>256932</v>
      </c>
      <c r="E933" s="10"/>
      <c r="F933" s="10"/>
    </row>
    <row r="934" spans="1:7" ht="18.75" x14ac:dyDescent="0.3">
      <c r="A934" s="2"/>
      <c r="B934" s="15"/>
      <c r="C934" s="3"/>
      <c r="D934" s="50">
        <f t="shared" si="22"/>
        <v>0</v>
      </c>
      <c r="E934" s="10"/>
      <c r="F934" s="10"/>
    </row>
    <row r="935" spans="1:7" ht="18.75" x14ac:dyDescent="0.3">
      <c r="A935" s="2"/>
      <c r="B935" s="15"/>
      <c r="C935" s="3"/>
      <c r="D935" s="50">
        <f t="shared" si="22"/>
        <v>0</v>
      </c>
      <c r="E935" s="10"/>
      <c r="F935" s="16"/>
    </row>
    <row r="936" spans="1:7" ht="18.75" x14ac:dyDescent="0.3">
      <c r="A936" s="2"/>
      <c r="B936" s="15"/>
      <c r="C936" s="3"/>
      <c r="D936" s="50"/>
      <c r="E936" s="10"/>
      <c r="F936" s="17"/>
    </row>
    <row r="937" spans="1:7" ht="18.75" x14ac:dyDescent="0.3">
      <c r="A937" s="2"/>
      <c r="B937" s="12"/>
      <c r="C937" s="3"/>
      <c r="D937" s="50"/>
      <c r="E937" s="10"/>
      <c r="F937" s="10"/>
    </row>
    <row r="938" spans="1:7" ht="18.75" x14ac:dyDescent="0.3">
      <c r="A938" s="2"/>
      <c r="B938" s="12"/>
      <c r="C938" s="3"/>
      <c r="D938" s="50"/>
      <c r="E938" s="10"/>
      <c r="F938" s="10"/>
    </row>
    <row r="939" spans="1:7" ht="18.75" x14ac:dyDescent="0.3">
      <c r="A939" s="18"/>
      <c r="B939" s="19"/>
      <c r="C939" s="20"/>
      <c r="D939" s="13"/>
      <c r="E939" s="10"/>
      <c r="F939" s="10"/>
    </row>
    <row r="940" spans="1:7" ht="18.75" x14ac:dyDescent="0.3">
      <c r="A940" s="1" t="s">
        <v>10</v>
      </c>
      <c r="B940" s="1" t="s">
        <v>11</v>
      </c>
      <c r="C940" s="1" t="s">
        <v>12</v>
      </c>
      <c r="D940" s="1" t="s">
        <v>13</v>
      </c>
      <c r="E940" s="1" t="s">
        <v>14</v>
      </c>
      <c r="F940" s="10"/>
    </row>
    <row r="941" spans="1:7" ht="18.75" x14ac:dyDescent="0.3">
      <c r="A941" s="3" t="s">
        <v>15</v>
      </c>
      <c r="B941" s="4" t="s">
        <v>697</v>
      </c>
      <c r="C941" s="3">
        <v>732</v>
      </c>
      <c r="D941" s="58">
        <v>58560</v>
      </c>
      <c r="E941" s="3"/>
      <c r="F941" s="10"/>
    </row>
    <row r="942" spans="1:7" ht="18.75" x14ac:dyDescent="0.3">
      <c r="A942" s="3" t="s">
        <v>15</v>
      </c>
      <c r="B942" s="4" t="s">
        <v>700</v>
      </c>
      <c r="C942" s="3">
        <v>732</v>
      </c>
      <c r="D942" s="58">
        <v>69540</v>
      </c>
      <c r="E942" s="5"/>
      <c r="F942" s="10"/>
    </row>
    <row r="943" spans="1:7" ht="18.75" x14ac:dyDescent="0.3">
      <c r="A943" s="3" t="s">
        <v>16</v>
      </c>
      <c r="B943" s="4" t="s">
        <v>701</v>
      </c>
      <c r="C943" s="3">
        <v>732</v>
      </c>
      <c r="D943" s="58">
        <v>58560</v>
      </c>
      <c r="E943" s="5"/>
      <c r="F943" s="10"/>
    </row>
    <row r="944" spans="1:7" ht="18.75" x14ac:dyDescent="0.3">
      <c r="A944" s="3" t="s">
        <v>16</v>
      </c>
      <c r="B944" s="4" t="s">
        <v>702</v>
      </c>
      <c r="C944" s="5">
        <v>732</v>
      </c>
      <c r="D944" s="58">
        <v>69540</v>
      </c>
      <c r="E944" s="3"/>
      <c r="F944" s="10"/>
    </row>
    <row r="945" spans="1:6" ht="18.75" x14ac:dyDescent="0.3">
      <c r="A945" s="6" t="s">
        <v>113</v>
      </c>
      <c r="B945" s="4" t="s">
        <v>698</v>
      </c>
      <c r="C945" s="3">
        <v>366</v>
      </c>
      <c r="D945" s="58">
        <v>29280</v>
      </c>
      <c r="E945" s="5"/>
      <c r="F945" s="10"/>
    </row>
    <row r="946" spans="1:6" ht="18.75" x14ac:dyDescent="0.3">
      <c r="A946" s="3" t="s">
        <v>113</v>
      </c>
      <c r="B946" s="4" t="s">
        <v>699</v>
      </c>
      <c r="C946" s="3">
        <v>366</v>
      </c>
      <c r="D946" s="58">
        <v>34770</v>
      </c>
      <c r="E946" s="5"/>
      <c r="F946" s="10"/>
    </row>
    <row r="947" spans="1:6" ht="18.75" x14ac:dyDescent="0.3">
      <c r="A947" s="3" t="s">
        <v>167</v>
      </c>
      <c r="B947" s="4" t="s">
        <v>61</v>
      </c>
      <c r="C947" s="3">
        <v>2196</v>
      </c>
      <c r="D947" s="58">
        <v>175680</v>
      </c>
      <c r="E947" s="5"/>
      <c r="F947" s="10"/>
    </row>
    <row r="948" spans="1:6" ht="18.75" x14ac:dyDescent="0.3">
      <c r="A948" s="3" t="s">
        <v>29</v>
      </c>
      <c r="B948" s="4" t="s">
        <v>339</v>
      </c>
      <c r="C948" s="3">
        <v>366</v>
      </c>
      <c r="D948" s="58">
        <v>23790</v>
      </c>
      <c r="E948" s="3"/>
      <c r="F948" s="10"/>
    </row>
    <row r="949" spans="1:6" ht="18.75" x14ac:dyDescent="0.3">
      <c r="A949" s="3" t="s">
        <v>42</v>
      </c>
      <c r="B949" s="4" t="s">
        <v>488</v>
      </c>
      <c r="C949" s="3">
        <v>2196</v>
      </c>
      <c r="D949" s="58">
        <v>131760</v>
      </c>
      <c r="E949" s="3"/>
      <c r="F949" s="10"/>
    </row>
    <row r="950" spans="1:6" ht="18.75" x14ac:dyDescent="0.3">
      <c r="A950" s="3" t="s">
        <v>15</v>
      </c>
      <c r="B950" s="4" t="s">
        <v>101</v>
      </c>
      <c r="C950" s="3">
        <v>2196</v>
      </c>
      <c r="D950" s="58">
        <v>94428</v>
      </c>
      <c r="E950" s="3"/>
      <c r="F950" s="10"/>
    </row>
    <row r="951" spans="1:6" ht="18.75" x14ac:dyDescent="0.3">
      <c r="A951" s="3" t="s">
        <v>67</v>
      </c>
      <c r="B951" s="4" t="s">
        <v>67</v>
      </c>
      <c r="C951" s="3">
        <v>2196</v>
      </c>
      <c r="D951" s="58">
        <v>266082</v>
      </c>
      <c r="E951" s="3"/>
      <c r="F951" s="10"/>
    </row>
    <row r="952" spans="1:6" ht="18.75" x14ac:dyDescent="0.3">
      <c r="A952" s="3" t="s">
        <v>104</v>
      </c>
      <c r="B952" s="4" t="s">
        <v>696</v>
      </c>
      <c r="C952" s="3">
        <v>366</v>
      </c>
      <c r="D952" s="58">
        <v>64050</v>
      </c>
      <c r="E952" s="3"/>
      <c r="F952" s="10"/>
    </row>
    <row r="953" spans="1:6" ht="18.75" x14ac:dyDescent="0.3">
      <c r="A953" s="3" t="s">
        <v>29</v>
      </c>
      <c r="B953" s="4" t="s">
        <v>716</v>
      </c>
      <c r="C953" s="3">
        <v>1830</v>
      </c>
      <c r="D953" s="5">
        <v>109800</v>
      </c>
      <c r="E953" s="3" t="s">
        <v>249</v>
      </c>
      <c r="F953" s="10"/>
    </row>
    <row r="954" spans="1:6" ht="18.75" x14ac:dyDescent="0.3">
      <c r="A954" s="3"/>
      <c r="B954" s="4"/>
      <c r="C954" s="3"/>
      <c r="D954" s="5"/>
      <c r="E954" s="3"/>
      <c r="F954" s="10"/>
    </row>
    <row r="955" spans="1:6" ht="18.75" x14ac:dyDescent="0.3">
      <c r="A955" s="3"/>
      <c r="B955" s="4"/>
      <c r="C955" s="3"/>
      <c r="D955" s="5"/>
      <c r="E955" s="3"/>
      <c r="F955" s="10"/>
    </row>
    <row r="956" spans="1:6" ht="18.75" x14ac:dyDescent="0.3">
      <c r="A956" s="3"/>
      <c r="B956" s="4"/>
      <c r="C956" s="5"/>
      <c r="D956" s="5"/>
      <c r="E956" s="3"/>
      <c r="F956" s="10"/>
    </row>
    <row r="957" spans="1:6" ht="18.75" x14ac:dyDescent="0.3">
      <c r="A957" s="3"/>
      <c r="B957" s="4"/>
      <c r="C957" s="5"/>
      <c r="D957" s="5"/>
      <c r="E957" s="3"/>
    </row>
    <row r="958" spans="1:6" ht="18.75" x14ac:dyDescent="0.3">
      <c r="A958" s="3"/>
      <c r="B958" s="4"/>
      <c r="C958" s="5"/>
      <c r="D958" s="5"/>
      <c r="E958" s="3"/>
    </row>
    <row r="959" spans="1:6" ht="18.75" x14ac:dyDescent="0.3">
      <c r="A959" s="3"/>
      <c r="B959" s="4"/>
      <c r="C959" s="5"/>
      <c r="D959" s="5"/>
      <c r="E959" s="3"/>
    </row>
    <row r="960" spans="1:6" ht="18.75" x14ac:dyDescent="0.3">
      <c r="A960" s="3"/>
      <c r="B960" s="4"/>
      <c r="C960" s="5"/>
      <c r="D960" s="5"/>
      <c r="E960" s="3"/>
    </row>
    <row r="961" spans="1:7" ht="18.75" x14ac:dyDescent="0.3">
      <c r="A961" s="3"/>
      <c r="B961" s="4"/>
      <c r="C961" s="5"/>
      <c r="D961" s="5"/>
      <c r="E961" s="3"/>
    </row>
    <row r="962" spans="1:7" ht="18.75" x14ac:dyDescent="0.3">
      <c r="A962" s="3"/>
      <c r="B962" s="4"/>
      <c r="C962" s="5"/>
      <c r="D962" s="5"/>
      <c r="E962" s="37"/>
    </row>
    <row r="963" spans="1:7" ht="18.75" x14ac:dyDescent="0.3">
      <c r="A963" s="3"/>
      <c r="B963" s="4"/>
      <c r="C963" s="5"/>
      <c r="D963" s="5"/>
      <c r="E963" s="37"/>
    </row>
    <row r="967" spans="1:7" ht="18.75" x14ac:dyDescent="0.3">
      <c r="A967" s="35" t="s">
        <v>0</v>
      </c>
      <c r="B967" s="35" t="s">
        <v>1</v>
      </c>
      <c r="C967" s="35" t="s">
        <v>2</v>
      </c>
      <c r="D967" s="35" t="s">
        <v>3</v>
      </c>
      <c r="E967" s="35" t="s">
        <v>4</v>
      </c>
      <c r="F967" s="35" t="s">
        <v>5</v>
      </c>
      <c r="G967" s="35" t="s">
        <v>6</v>
      </c>
    </row>
    <row r="968" spans="1:7" ht="18.75" x14ac:dyDescent="0.3">
      <c r="A968" s="22">
        <v>1884</v>
      </c>
      <c r="B968" s="22" t="s">
        <v>19</v>
      </c>
      <c r="C968" s="23" t="s">
        <v>717</v>
      </c>
      <c r="D968" s="24">
        <v>1488</v>
      </c>
      <c r="E968" s="22">
        <v>900</v>
      </c>
      <c r="F968" s="25" t="s">
        <v>718</v>
      </c>
      <c r="G968" s="26">
        <f>D968*E968</f>
        <v>1339200</v>
      </c>
    </row>
    <row r="969" spans="1:7" ht="18.75" x14ac:dyDescent="0.3">
      <c r="A969" s="1" t="s">
        <v>7</v>
      </c>
      <c r="B969" s="7">
        <v>5.4</v>
      </c>
      <c r="C969" s="48" t="s">
        <v>3</v>
      </c>
      <c r="D969" s="48" t="s">
        <v>8</v>
      </c>
      <c r="E969" s="46">
        <v>803520</v>
      </c>
      <c r="F969" s="10"/>
      <c r="G969" s="11">
        <v>535680</v>
      </c>
    </row>
    <row r="970" spans="1:7" ht="18.75" x14ac:dyDescent="0.3">
      <c r="A970" s="2" t="s">
        <v>630</v>
      </c>
      <c r="B970" s="12">
        <v>80</v>
      </c>
      <c r="C970" s="5">
        <v>1488</v>
      </c>
      <c r="D970" s="50">
        <f t="shared" ref="D970:D978" si="23">B970*C970</f>
        <v>119040</v>
      </c>
      <c r="E970" s="21">
        <v>0.6</v>
      </c>
      <c r="F970" s="10"/>
      <c r="G970" s="21">
        <v>0.4</v>
      </c>
    </row>
    <row r="971" spans="1:7" ht="18.75" x14ac:dyDescent="0.3">
      <c r="A971" s="2" t="s">
        <v>631</v>
      </c>
      <c r="B971" s="12">
        <v>52.7</v>
      </c>
      <c r="C971" s="3">
        <v>1488</v>
      </c>
      <c r="D971" s="50">
        <f t="shared" si="23"/>
        <v>78417.600000000006</v>
      </c>
      <c r="E971" s="10"/>
      <c r="F971" s="10"/>
      <c r="G971" s="10"/>
    </row>
    <row r="972" spans="1:7" ht="18.75" x14ac:dyDescent="0.3">
      <c r="A972" s="2" t="s">
        <v>396</v>
      </c>
      <c r="B972" s="12">
        <v>80</v>
      </c>
      <c r="C972" s="3">
        <v>1488</v>
      </c>
      <c r="D972" s="50">
        <f t="shared" si="23"/>
        <v>119040</v>
      </c>
      <c r="E972" s="10"/>
      <c r="F972" s="10"/>
      <c r="G972" s="10"/>
    </row>
    <row r="973" spans="1:7" ht="18.75" x14ac:dyDescent="0.3">
      <c r="A973" s="2" t="s">
        <v>339</v>
      </c>
      <c r="B973" s="12">
        <v>65</v>
      </c>
      <c r="C973" s="5">
        <v>1488</v>
      </c>
      <c r="D973" s="50">
        <f t="shared" si="23"/>
        <v>96720</v>
      </c>
      <c r="E973" s="10"/>
      <c r="F973" s="10"/>
      <c r="G973" s="10"/>
    </row>
    <row r="974" spans="1:7" ht="18.75" x14ac:dyDescent="0.3">
      <c r="A974" s="2" t="s">
        <v>488</v>
      </c>
      <c r="B974" s="12">
        <v>60</v>
      </c>
      <c r="C974" s="3">
        <v>1488</v>
      </c>
      <c r="D974" s="50">
        <f t="shared" si="23"/>
        <v>89280</v>
      </c>
      <c r="E974" s="10"/>
      <c r="F974" s="10"/>
      <c r="G974" s="14">
        <f>E969-D984-D985-D986-D987-D988-D989-D990-D991-D992-D993-D994-D995-D996-D997-D998-D999-D1000-D1001-D1002-D1003-D1004-D1005-D1006-D1006</f>
        <v>0</v>
      </c>
    </row>
    <row r="975" spans="1:7" ht="18.75" x14ac:dyDescent="0.3">
      <c r="A975" s="2" t="s">
        <v>632</v>
      </c>
      <c r="B975" s="12">
        <v>43</v>
      </c>
      <c r="C975" s="3">
        <v>1488</v>
      </c>
      <c r="D975" s="50">
        <f t="shared" si="23"/>
        <v>63984</v>
      </c>
      <c r="E975" s="10"/>
      <c r="F975" s="10"/>
      <c r="G975" s="10"/>
    </row>
    <row r="976" spans="1:7" ht="18.75" x14ac:dyDescent="0.3">
      <c r="A976" s="2" t="s">
        <v>41</v>
      </c>
      <c r="B976" s="12">
        <v>159.30000000000001</v>
      </c>
      <c r="C976" s="3">
        <v>1488</v>
      </c>
      <c r="D976" s="50">
        <f t="shared" si="23"/>
        <v>237038.40000000002</v>
      </c>
      <c r="E976" s="10"/>
      <c r="F976" s="10"/>
    </row>
    <row r="977" spans="1:6" ht="18.75" x14ac:dyDescent="0.3">
      <c r="A977" s="2"/>
      <c r="B977" s="15"/>
      <c r="C977" s="3"/>
      <c r="D977" s="50">
        <f t="shared" si="23"/>
        <v>0</v>
      </c>
      <c r="E977" s="10"/>
      <c r="F977" s="10"/>
    </row>
    <row r="978" spans="1:6" ht="18.75" x14ac:dyDescent="0.3">
      <c r="A978" s="2"/>
      <c r="B978" s="15"/>
      <c r="C978" s="3"/>
      <c r="D978" s="50">
        <f t="shared" si="23"/>
        <v>0</v>
      </c>
      <c r="E978" s="10"/>
      <c r="F978" s="16"/>
    </row>
    <row r="979" spans="1:6" ht="18.75" x14ac:dyDescent="0.3">
      <c r="A979" s="2"/>
      <c r="B979" s="15"/>
      <c r="C979" s="3"/>
      <c r="D979" s="50"/>
      <c r="E979" s="10"/>
      <c r="F979" s="17"/>
    </row>
    <row r="980" spans="1:6" ht="18.75" x14ac:dyDescent="0.3">
      <c r="A980" s="2"/>
      <c r="B980" s="12"/>
      <c r="C980" s="3"/>
      <c r="D980" s="50"/>
      <c r="E980" s="10"/>
      <c r="F980" s="10"/>
    </row>
    <row r="981" spans="1:6" ht="18.75" x14ac:dyDescent="0.3">
      <c r="A981" s="2"/>
      <c r="B981" s="12"/>
      <c r="C981" s="3"/>
      <c r="D981" s="50"/>
      <c r="E981" s="10"/>
      <c r="F981" s="10"/>
    </row>
    <row r="982" spans="1:6" ht="18.75" x14ac:dyDescent="0.3">
      <c r="A982" s="18"/>
      <c r="B982" s="19"/>
      <c r="C982" s="20"/>
      <c r="D982" s="13"/>
      <c r="E982" s="10"/>
      <c r="F982" s="10"/>
    </row>
    <row r="983" spans="1:6" ht="18.75" x14ac:dyDescent="0.3">
      <c r="A983" s="1" t="s">
        <v>10</v>
      </c>
      <c r="B983" s="1" t="s">
        <v>11</v>
      </c>
      <c r="C983" s="1" t="s">
        <v>12</v>
      </c>
      <c r="D983" s="1" t="s">
        <v>13</v>
      </c>
      <c r="E983" s="1" t="s">
        <v>14</v>
      </c>
      <c r="F983" s="10"/>
    </row>
    <row r="984" spans="1:6" ht="18.75" x14ac:dyDescent="0.3">
      <c r="A984" s="3" t="s">
        <v>42</v>
      </c>
      <c r="B984" s="4" t="s">
        <v>726</v>
      </c>
      <c r="C984" s="3">
        <v>1488</v>
      </c>
      <c r="D984" s="58">
        <v>89280</v>
      </c>
      <c r="E984" s="3"/>
      <c r="F984" s="10"/>
    </row>
    <row r="985" spans="1:6" ht="18.75" x14ac:dyDescent="0.3">
      <c r="A985" s="3" t="s">
        <v>17</v>
      </c>
      <c r="B985" s="4" t="s">
        <v>727</v>
      </c>
      <c r="C985" s="3">
        <v>1488</v>
      </c>
      <c r="D985" s="58">
        <v>119040</v>
      </c>
      <c r="E985" s="5"/>
      <c r="F985" s="10"/>
    </row>
    <row r="986" spans="1:6" ht="18.75" x14ac:dyDescent="0.3">
      <c r="A986" s="3" t="s">
        <v>29</v>
      </c>
      <c r="B986" s="4" t="s">
        <v>132</v>
      </c>
      <c r="C986" s="3">
        <v>1488</v>
      </c>
      <c r="D986" s="58">
        <v>96720</v>
      </c>
      <c r="E986" s="5"/>
      <c r="F986" s="10"/>
    </row>
    <row r="987" spans="1:6" ht="18.75" x14ac:dyDescent="0.3">
      <c r="A987" s="3" t="s">
        <v>15</v>
      </c>
      <c r="B987" s="4" t="s">
        <v>86</v>
      </c>
      <c r="C987" s="5">
        <v>1488</v>
      </c>
      <c r="D987" s="58">
        <v>119040</v>
      </c>
      <c r="E987" s="3"/>
      <c r="F987" s="10"/>
    </row>
    <row r="988" spans="1:6" ht="18.75" x14ac:dyDescent="0.3">
      <c r="A988" s="6" t="s">
        <v>16</v>
      </c>
      <c r="B988" s="4" t="s">
        <v>209</v>
      </c>
      <c r="C988" s="3">
        <v>1488</v>
      </c>
      <c r="D988" s="58">
        <v>78418</v>
      </c>
      <c r="E988" s="5"/>
      <c r="F988" s="10"/>
    </row>
    <row r="989" spans="1:6" ht="18.75" x14ac:dyDescent="0.3">
      <c r="A989" s="3" t="s">
        <v>104</v>
      </c>
      <c r="B989" s="4" t="s">
        <v>101</v>
      </c>
      <c r="C989" s="3">
        <v>1488</v>
      </c>
      <c r="D989" s="58">
        <v>63984</v>
      </c>
      <c r="E989" s="5"/>
      <c r="F989" s="10"/>
    </row>
    <row r="990" spans="1:6" ht="18.75" x14ac:dyDescent="0.3">
      <c r="A990" s="3" t="s">
        <v>67</v>
      </c>
      <c r="B990" s="4" t="s">
        <v>67</v>
      </c>
      <c r="C990" s="3">
        <v>1488</v>
      </c>
      <c r="D990" s="58">
        <v>237038</v>
      </c>
      <c r="E990" s="5"/>
      <c r="F990" s="10"/>
    </row>
    <row r="991" spans="1:6" ht="18.75" x14ac:dyDescent="0.3">
      <c r="A991" s="3"/>
      <c r="B991" s="4"/>
      <c r="C991" s="3"/>
      <c r="D991" s="58"/>
      <c r="E991" s="3"/>
      <c r="F991" s="10"/>
    </row>
    <row r="992" spans="1:6" ht="18.75" x14ac:dyDescent="0.3">
      <c r="A992" s="3"/>
      <c r="B992" s="4"/>
      <c r="C992" s="3"/>
      <c r="D992" s="58"/>
      <c r="E992" s="3"/>
      <c r="F992" s="10"/>
    </row>
    <row r="993" spans="1:6" ht="18.75" x14ac:dyDescent="0.3">
      <c r="A993" s="3"/>
      <c r="B993" s="4"/>
      <c r="C993" s="3"/>
      <c r="D993" s="58"/>
      <c r="E993" s="3"/>
      <c r="F993" s="10"/>
    </row>
    <row r="994" spans="1:6" ht="18.75" x14ac:dyDescent="0.3">
      <c r="A994" s="3"/>
      <c r="B994" s="4"/>
      <c r="C994" s="3"/>
      <c r="D994" s="58"/>
      <c r="E994" s="3"/>
      <c r="F994" s="10"/>
    </row>
    <row r="995" spans="1:6" ht="18.75" x14ac:dyDescent="0.3">
      <c r="A995" s="3"/>
      <c r="B995" s="4"/>
      <c r="C995" s="3"/>
      <c r="D995" s="58"/>
      <c r="E995" s="3"/>
      <c r="F995" s="10"/>
    </row>
    <row r="996" spans="1:6" ht="18.75" x14ac:dyDescent="0.3">
      <c r="A996" s="3"/>
      <c r="B996" s="4"/>
      <c r="C996" s="3"/>
      <c r="D996" s="5"/>
      <c r="E996" s="3" t="s">
        <v>249</v>
      </c>
      <c r="F996" s="10"/>
    </row>
    <row r="997" spans="1:6" ht="18.75" x14ac:dyDescent="0.3">
      <c r="A997" s="3"/>
      <c r="B997" s="4"/>
      <c r="C997" s="3"/>
      <c r="D997" s="5"/>
      <c r="E997" s="3"/>
      <c r="F997" s="10"/>
    </row>
    <row r="998" spans="1:6" ht="18.75" x14ac:dyDescent="0.3">
      <c r="A998" s="3"/>
      <c r="B998" s="4"/>
      <c r="C998" s="3"/>
      <c r="D998" s="5"/>
      <c r="E998" s="3"/>
      <c r="F998" s="10"/>
    </row>
    <row r="999" spans="1:6" ht="18.75" x14ac:dyDescent="0.3">
      <c r="A999" s="3"/>
      <c r="B999" s="4"/>
      <c r="C999" s="5"/>
      <c r="D999" s="5"/>
      <c r="E999" s="3"/>
      <c r="F999" s="10"/>
    </row>
    <row r="1000" spans="1:6" ht="18.75" x14ac:dyDescent="0.3">
      <c r="A1000" s="3"/>
      <c r="B1000" s="4"/>
      <c r="C1000" s="5"/>
      <c r="D1000" s="5"/>
      <c r="E1000" s="3"/>
    </row>
    <row r="1001" spans="1:6" ht="18.75" x14ac:dyDescent="0.3">
      <c r="A1001" s="3"/>
      <c r="B1001" s="4"/>
      <c r="C1001" s="5"/>
      <c r="D1001" s="5"/>
      <c r="E1001" s="3"/>
    </row>
    <row r="1002" spans="1:6" ht="18.75" x14ac:dyDescent="0.3">
      <c r="A1002" s="3"/>
      <c r="B1002" s="4"/>
      <c r="C1002" s="5"/>
      <c r="D1002" s="5"/>
      <c r="E1002" s="3"/>
    </row>
    <row r="1003" spans="1:6" ht="18.75" x14ac:dyDescent="0.3">
      <c r="A1003" s="3"/>
      <c r="B1003" s="4"/>
      <c r="C1003" s="5"/>
      <c r="D1003" s="5"/>
      <c r="E1003" s="3"/>
    </row>
    <row r="1004" spans="1:6" ht="18.75" x14ac:dyDescent="0.3">
      <c r="A1004" s="3"/>
      <c r="B1004" s="4"/>
      <c r="C1004" s="5"/>
      <c r="D1004" s="5"/>
      <c r="E1004" s="3"/>
    </row>
    <row r="1005" spans="1:6" ht="18.75" x14ac:dyDescent="0.3">
      <c r="A1005" s="3"/>
      <c r="B1005" s="4"/>
      <c r="C1005" s="5"/>
      <c r="D1005" s="5"/>
      <c r="E1005" s="37"/>
    </row>
    <row r="1006" spans="1:6" ht="18.75" x14ac:dyDescent="0.3">
      <c r="A1006" s="3"/>
      <c r="B1006" s="4"/>
      <c r="C1006" s="5"/>
      <c r="D1006" s="5"/>
      <c r="E1006" s="37"/>
    </row>
    <row r="1010" spans="1:7" ht="18.75" x14ac:dyDescent="0.3">
      <c r="A1010" s="35" t="s">
        <v>0</v>
      </c>
      <c r="B1010" s="35" t="s">
        <v>1</v>
      </c>
      <c r="C1010" s="35" t="s">
        <v>2</v>
      </c>
      <c r="D1010" s="35" t="s">
        <v>3</v>
      </c>
      <c r="E1010" s="35" t="s">
        <v>4</v>
      </c>
      <c r="F1010" s="35" t="s">
        <v>5</v>
      </c>
      <c r="G1010" s="35" t="s">
        <v>6</v>
      </c>
    </row>
    <row r="1011" spans="1:7" ht="18.75" x14ac:dyDescent="0.3">
      <c r="A1011" s="22">
        <v>1880</v>
      </c>
      <c r="B1011" s="22" t="s">
        <v>19</v>
      </c>
      <c r="C1011" s="23" t="s">
        <v>165</v>
      </c>
      <c r="D1011" s="24">
        <v>1164</v>
      </c>
      <c r="E1011" s="22">
        <v>900</v>
      </c>
      <c r="F1011" s="25"/>
      <c r="G1011" s="26">
        <f>D1011*E1011</f>
        <v>1047600</v>
      </c>
    </row>
    <row r="1012" spans="1:7" ht="18.75" x14ac:dyDescent="0.3">
      <c r="A1012" s="1" t="s">
        <v>7</v>
      </c>
      <c r="B1012" s="7">
        <v>5.4</v>
      </c>
      <c r="C1012" s="48" t="s">
        <v>3</v>
      </c>
      <c r="D1012" s="48" t="s">
        <v>8</v>
      </c>
      <c r="E1012" s="46">
        <v>628560</v>
      </c>
      <c r="F1012" s="10"/>
      <c r="G1012" s="11">
        <v>419040</v>
      </c>
    </row>
    <row r="1013" spans="1:7" ht="18.75" x14ac:dyDescent="0.3">
      <c r="A1013" s="2" t="s">
        <v>630</v>
      </c>
      <c r="B1013" s="12">
        <v>80</v>
      </c>
      <c r="C1013" s="5">
        <v>1164</v>
      </c>
      <c r="D1013" s="50">
        <f t="shared" ref="D1013:D1021" si="24">B1013*C1013</f>
        <v>93120</v>
      </c>
      <c r="E1013" s="21">
        <v>0.6</v>
      </c>
      <c r="F1013" s="10"/>
      <c r="G1013" s="21">
        <v>0.4</v>
      </c>
    </row>
    <row r="1014" spans="1:7" ht="18.75" x14ac:dyDescent="0.3">
      <c r="A1014" s="2" t="s">
        <v>631</v>
      </c>
      <c r="B1014" s="12">
        <v>52.7</v>
      </c>
      <c r="C1014" s="3">
        <v>1164</v>
      </c>
      <c r="D1014" s="50">
        <f t="shared" si="24"/>
        <v>61342.8</v>
      </c>
      <c r="E1014" s="10"/>
      <c r="F1014" s="10"/>
      <c r="G1014" s="10"/>
    </row>
    <row r="1015" spans="1:7" ht="18.75" x14ac:dyDescent="0.3">
      <c r="A1015" s="2" t="s">
        <v>396</v>
      </c>
      <c r="B1015" s="12">
        <v>80</v>
      </c>
      <c r="C1015" s="3">
        <v>1164</v>
      </c>
      <c r="D1015" s="50">
        <f t="shared" si="24"/>
        <v>93120</v>
      </c>
      <c r="E1015" s="10"/>
      <c r="F1015" s="10"/>
      <c r="G1015" s="10"/>
    </row>
    <row r="1016" spans="1:7" ht="18.75" x14ac:dyDescent="0.3">
      <c r="A1016" s="2" t="s">
        <v>339</v>
      </c>
      <c r="B1016" s="12">
        <v>65</v>
      </c>
      <c r="C1016" s="5">
        <v>1164</v>
      </c>
      <c r="D1016" s="50">
        <f t="shared" si="24"/>
        <v>75660</v>
      </c>
      <c r="E1016" s="10"/>
      <c r="F1016" s="10"/>
      <c r="G1016" s="10"/>
    </row>
    <row r="1017" spans="1:7" ht="18.75" x14ac:dyDescent="0.3">
      <c r="A1017" s="2" t="s">
        <v>488</v>
      </c>
      <c r="B1017" s="12">
        <v>60</v>
      </c>
      <c r="C1017" s="3">
        <v>1164</v>
      </c>
      <c r="D1017" s="50">
        <f t="shared" si="24"/>
        <v>69840</v>
      </c>
      <c r="E1017" s="10"/>
      <c r="F1017" s="10"/>
      <c r="G1017" s="14">
        <f>E1012-D1027-D1028-D1029-D1030-D1031-D1032-D1033-D1034-D1035-D1036-D1037-D1038-D1039-D1040-D1041-D1042-D1043-D1044-D1045-D1046-D1047-D1048-D1049-D1049</f>
        <v>0</v>
      </c>
    </row>
    <row r="1018" spans="1:7" ht="18.75" x14ac:dyDescent="0.3">
      <c r="A1018" s="2" t="s">
        <v>632</v>
      </c>
      <c r="B1018" s="12">
        <v>43</v>
      </c>
      <c r="C1018" s="3">
        <v>1164</v>
      </c>
      <c r="D1018" s="50">
        <f t="shared" si="24"/>
        <v>50052</v>
      </c>
      <c r="E1018" s="10"/>
      <c r="F1018" s="10"/>
      <c r="G1018" s="10"/>
    </row>
    <row r="1019" spans="1:7" ht="18.75" x14ac:dyDescent="0.3">
      <c r="A1019" s="2" t="s">
        <v>41</v>
      </c>
      <c r="B1019" s="12">
        <v>159.30000000000001</v>
      </c>
      <c r="C1019" s="3">
        <v>1164</v>
      </c>
      <c r="D1019" s="50">
        <f t="shared" si="24"/>
        <v>185425.2</v>
      </c>
      <c r="E1019" s="10"/>
      <c r="F1019" s="10"/>
    </row>
    <row r="1020" spans="1:7" ht="18.75" x14ac:dyDescent="0.3">
      <c r="A1020" s="2"/>
      <c r="B1020" s="15"/>
      <c r="C1020" s="3"/>
      <c r="D1020" s="50">
        <f t="shared" si="24"/>
        <v>0</v>
      </c>
      <c r="E1020" s="10"/>
      <c r="F1020" s="10"/>
    </row>
    <row r="1021" spans="1:7" ht="18.75" x14ac:dyDescent="0.3">
      <c r="A1021" s="2"/>
      <c r="B1021" s="15"/>
      <c r="C1021" s="3"/>
      <c r="D1021" s="50">
        <f t="shared" si="24"/>
        <v>0</v>
      </c>
      <c r="E1021" s="10"/>
      <c r="F1021" s="16"/>
    </row>
    <row r="1022" spans="1:7" ht="18.75" x14ac:dyDescent="0.3">
      <c r="A1022" s="2"/>
      <c r="B1022" s="15"/>
      <c r="C1022" s="3"/>
      <c r="D1022" s="50"/>
      <c r="E1022" s="10"/>
      <c r="F1022" s="17"/>
    </row>
    <row r="1023" spans="1:7" ht="18.75" x14ac:dyDescent="0.3">
      <c r="A1023" s="2"/>
      <c r="B1023" s="12"/>
      <c r="C1023" s="3"/>
      <c r="D1023" s="50"/>
      <c r="E1023" s="10"/>
      <c r="F1023" s="10"/>
    </row>
    <row r="1024" spans="1:7" ht="18.75" x14ac:dyDescent="0.3">
      <c r="A1024" s="2"/>
      <c r="B1024" s="12"/>
      <c r="C1024" s="3"/>
      <c r="D1024" s="50"/>
      <c r="E1024" s="10"/>
      <c r="F1024" s="10"/>
    </row>
    <row r="1025" spans="1:6" ht="18.75" x14ac:dyDescent="0.3">
      <c r="A1025" s="18"/>
      <c r="B1025" s="19"/>
      <c r="C1025" s="20"/>
      <c r="D1025" s="13"/>
      <c r="E1025" s="10"/>
      <c r="F1025" s="10"/>
    </row>
    <row r="1026" spans="1:6" ht="18.75" x14ac:dyDescent="0.3">
      <c r="A1026" s="1" t="s">
        <v>10</v>
      </c>
      <c r="B1026" s="1" t="s">
        <v>11</v>
      </c>
      <c r="C1026" s="1" t="s">
        <v>12</v>
      </c>
      <c r="D1026" s="1" t="s">
        <v>13</v>
      </c>
      <c r="E1026" s="1" t="s">
        <v>14</v>
      </c>
      <c r="F1026" s="10"/>
    </row>
    <row r="1027" spans="1:6" ht="18.75" x14ac:dyDescent="0.3">
      <c r="A1027" s="3" t="s">
        <v>42</v>
      </c>
      <c r="B1027" s="4" t="s">
        <v>726</v>
      </c>
      <c r="C1027" s="3">
        <v>1164</v>
      </c>
      <c r="D1027" s="58">
        <v>69840</v>
      </c>
      <c r="E1027" s="3"/>
      <c r="F1027" s="10"/>
    </row>
    <row r="1028" spans="1:6" ht="18.75" x14ac:dyDescent="0.3">
      <c r="A1028" s="3" t="s">
        <v>17</v>
      </c>
      <c r="B1028" s="4" t="s">
        <v>727</v>
      </c>
      <c r="C1028" s="3">
        <v>1164</v>
      </c>
      <c r="D1028" s="58">
        <v>93120</v>
      </c>
      <c r="E1028" s="5"/>
      <c r="F1028" s="10"/>
    </row>
    <row r="1029" spans="1:6" ht="18.75" x14ac:dyDescent="0.3">
      <c r="A1029" s="3" t="s">
        <v>332</v>
      </c>
      <c r="B1029" s="4" t="s">
        <v>728</v>
      </c>
      <c r="C1029" s="3">
        <v>1164</v>
      </c>
      <c r="D1029" s="58">
        <v>75660</v>
      </c>
      <c r="E1029" s="5"/>
      <c r="F1029" s="10"/>
    </row>
    <row r="1030" spans="1:6" ht="18.75" x14ac:dyDescent="0.3">
      <c r="A1030" s="3" t="s">
        <v>16</v>
      </c>
      <c r="B1030" s="4" t="s">
        <v>729</v>
      </c>
      <c r="C1030" s="5">
        <v>1164</v>
      </c>
      <c r="D1030" s="58">
        <v>93120</v>
      </c>
      <c r="E1030" s="3"/>
      <c r="F1030" s="10"/>
    </row>
    <row r="1031" spans="1:6" ht="18.75" x14ac:dyDescent="0.3">
      <c r="A1031" s="6" t="s">
        <v>15</v>
      </c>
      <c r="B1031" s="4" t="s">
        <v>86</v>
      </c>
      <c r="C1031" s="3">
        <v>1164</v>
      </c>
      <c r="D1031" s="58">
        <v>61343</v>
      </c>
      <c r="E1031" s="5"/>
      <c r="F1031" s="10"/>
    </row>
    <row r="1032" spans="1:6" ht="18.75" x14ac:dyDescent="0.3">
      <c r="A1032" s="3" t="s">
        <v>27</v>
      </c>
      <c r="B1032" s="4" t="s">
        <v>101</v>
      </c>
      <c r="C1032" s="3">
        <v>1164</v>
      </c>
      <c r="D1032" s="58">
        <v>50052</v>
      </c>
      <c r="E1032" s="5"/>
      <c r="F1032" s="10"/>
    </row>
    <row r="1033" spans="1:6" ht="18.75" x14ac:dyDescent="0.3">
      <c r="A1033" s="3" t="s">
        <v>67</v>
      </c>
      <c r="B1033" s="4" t="s">
        <v>67</v>
      </c>
      <c r="C1033" s="3">
        <v>1164</v>
      </c>
      <c r="D1033" s="58">
        <v>185425</v>
      </c>
      <c r="E1033" s="5"/>
      <c r="F1033" s="10"/>
    </row>
    <row r="1034" spans="1:6" ht="18.75" x14ac:dyDescent="0.3">
      <c r="A1034" s="3"/>
      <c r="B1034" s="4"/>
      <c r="C1034" s="3"/>
      <c r="D1034" s="58"/>
      <c r="E1034" s="3"/>
      <c r="F1034" s="10"/>
    </row>
    <row r="1035" spans="1:6" ht="18.75" x14ac:dyDescent="0.3">
      <c r="A1035" s="3"/>
      <c r="B1035" s="4"/>
      <c r="C1035" s="3"/>
      <c r="D1035" s="58"/>
      <c r="E1035" s="3"/>
      <c r="F1035" s="10"/>
    </row>
    <row r="1036" spans="1:6" ht="18.75" x14ac:dyDescent="0.3">
      <c r="A1036" s="3"/>
      <c r="B1036" s="4"/>
      <c r="C1036" s="3"/>
      <c r="D1036" s="58"/>
      <c r="E1036" s="3"/>
      <c r="F1036" s="10"/>
    </row>
    <row r="1037" spans="1:6" ht="18.75" x14ac:dyDescent="0.3">
      <c r="A1037" s="3"/>
      <c r="B1037" s="4"/>
      <c r="C1037" s="3"/>
      <c r="D1037" s="58"/>
      <c r="E1037" s="3"/>
      <c r="F1037" s="10"/>
    </row>
    <row r="1038" spans="1:6" ht="18.75" x14ac:dyDescent="0.3">
      <c r="A1038" s="3"/>
      <c r="B1038" s="4"/>
      <c r="C1038" s="3"/>
      <c r="D1038" s="58"/>
      <c r="E1038" s="3"/>
      <c r="F1038" s="10"/>
    </row>
    <row r="1039" spans="1:6" ht="18.75" x14ac:dyDescent="0.3">
      <c r="A1039" s="3"/>
      <c r="B1039" s="4"/>
      <c r="C1039" s="3"/>
      <c r="D1039" s="5"/>
      <c r="E1039" s="3" t="s">
        <v>249</v>
      </c>
      <c r="F1039" s="10"/>
    </row>
    <row r="1040" spans="1:6" ht="18.75" x14ac:dyDescent="0.3">
      <c r="A1040" s="3"/>
      <c r="B1040" s="4"/>
      <c r="C1040" s="3"/>
      <c r="D1040" s="5"/>
      <c r="E1040" s="3"/>
      <c r="F1040" s="10"/>
    </row>
    <row r="1041" spans="1:7" ht="18.75" x14ac:dyDescent="0.3">
      <c r="A1041" s="3"/>
      <c r="B1041" s="4"/>
      <c r="C1041" s="3"/>
      <c r="D1041" s="5"/>
      <c r="E1041" s="3"/>
      <c r="F1041" s="10"/>
    </row>
    <row r="1042" spans="1:7" ht="18.75" x14ac:dyDescent="0.3">
      <c r="A1042" s="3"/>
      <c r="B1042" s="4"/>
      <c r="C1042" s="5"/>
      <c r="D1042" s="5"/>
      <c r="E1042" s="3"/>
      <c r="F1042" s="10"/>
    </row>
    <row r="1043" spans="1:7" ht="18.75" x14ac:dyDescent="0.3">
      <c r="A1043" s="3"/>
      <c r="B1043" s="4"/>
      <c r="C1043" s="5"/>
      <c r="D1043" s="5"/>
      <c r="E1043" s="3"/>
    </row>
    <row r="1044" spans="1:7" ht="18.75" x14ac:dyDescent="0.3">
      <c r="A1044" s="3"/>
      <c r="B1044" s="4"/>
      <c r="C1044" s="5"/>
      <c r="D1044" s="5"/>
      <c r="E1044" s="3"/>
    </row>
    <row r="1045" spans="1:7" ht="18.75" x14ac:dyDescent="0.3">
      <c r="A1045" s="3"/>
      <c r="B1045" s="4"/>
      <c r="C1045" s="5"/>
      <c r="D1045" s="5"/>
      <c r="E1045" s="3"/>
    </row>
    <row r="1046" spans="1:7" ht="18.75" x14ac:dyDescent="0.3">
      <c r="A1046" s="3"/>
      <c r="B1046" s="4"/>
      <c r="C1046" s="5"/>
      <c r="D1046" s="5"/>
      <c r="E1046" s="3"/>
    </row>
    <row r="1047" spans="1:7" ht="18.75" x14ac:dyDescent="0.3">
      <c r="A1047" s="3"/>
      <c r="B1047" s="4"/>
      <c r="C1047" s="5"/>
      <c r="D1047" s="5"/>
      <c r="E1047" s="3"/>
    </row>
    <row r="1048" spans="1:7" ht="18.75" x14ac:dyDescent="0.3">
      <c r="A1048" s="3"/>
      <c r="B1048" s="4"/>
      <c r="C1048" s="5"/>
      <c r="D1048" s="5"/>
      <c r="E1048" s="37"/>
    </row>
    <row r="1049" spans="1:7" ht="18.75" x14ac:dyDescent="0.3">
      <c r="A1049" s="3"/>
      <c r="B1049" s="4"/>
      <c r="C1049" s="5"/>
      <c r="D1049" s="5"/>
      <c r="E1049" s="37"/>
    </row>
    <row r="1052" spans="1:7" ht="18.75" x14ac:dyDescent="0.3">
      <c r="A1052" s="35" t="s">
        <v>0</v>
      </c>
      <c r="B1052" s="35" t="s">
        <v>1</v>
      </c>
      <c r="C1052" s="35" t="s">
        <v>2</v>
      </c>
      <c r="D1052" s="35" t="s">
        <v>3</v>
      </c>
      <c r="E1052" s="35" t="s">
        <v>4</v>
      </c>
      <c r="F1052" s="35" t="s">
        <v>5</v>
      </c>
      <c r="G1052" s="35" t="s">
        <v>6</v>
      </c>
    </row>
    <row r="1053" spans="1:7" ht="18.75" x14ac:dyDescent="0.3">
      <c r="A1053" s="22">
        <v>1887</v>
      </c>
      <c r="B1053" s="22" t="s">
        <v>19</v>
      </c>
      <c r="C1053" s="23" t="s">
        <v>695</v>
      </c>
      <c r="D1053" s="24">
        <v>753</v>
      </c>
      <c r="E1053" s="22">
        <v>900</v>
      </c>
      <c r="F1053" s="25">
        <v>6</v>
      </c>
      <c r="G1053" s="26">
        <f>D1053*E1053</f>
        <v>677700</v>
      </c>
    </row>
    <row r="1054" spans="1:7" ht="18.75" x14ac:dyDescent="0.3">
      <c r="A1054" s="1" t="s">
        <v>7</v>
      </c>
      <c r="B1054" s="7">
        <v>5.4</v>
      </c>
      <c r="C1054" s="48" t="s">
        <v>3</v>
      </c>
      <c r="D1054" s="48" t="s">
        <v>8</v>
      </c>
      <c r="E1054" s="46">
        <v>406620</v>
      </c>
      <c r="F1054" s="10"/>
      <c r="G1054" s="11">
        <v>271080</v>
      </c>
    </row>
    <row r="1055" spans="1:7" ht="18.75" x14ac:dyDescent="0.3">
      <c r="A1055" s="2" t="s">
        <v>630</v>
      </c>
      <c r="B1055" s="12">
        <v>80</v>
      </c>
      <c r="C1055" s="5">
        <v>753</v>
      </c>
      <c r="D1055" s="50">
        <f t="shared" ref="D1055:D1063" si="25">B1055*C1055</f>
        <v>60240</v>
      </c>
      <c r="E1055" s="21">
        <v>0.6</v>
      </c>
      <c r="F1055" s="10"/>
      <c r="G1055" s="21">
        <v>0.4</v>
      </c>
    </row>
    <row r="1056" spans="1:7" ht="18.75" x14ac:dyDescent="0.3">
      <c r="A1056" s="2" t="s">
        <v>631</v>
      </c>
      <c r="B1056" s="12">
        <v>95</v>
      </c>
      <c r="C1056" s="3">
        <v>753</v>
      </c>
      <c r="D1056" s="50">
        <f t="shared" si="25"/>
        <v>71535</v>
      </c>
      <c r="E1056" s="10"/>
      <c r="F1056" s="10"/>
      <c r="G1056" s="10"/>
    </row>
    <row r="1057" spans="1:7" ht="18.75" x14ac:dyDescent="0.3">
      <c r="A1057" s="2" t="s">
        <v>396</v>
      </c>
      <c r="B1057" s="12">
        <v>80</v>
      </c>
      <c r="C1057" s="3">
        <v>753</v>
      </c>
      <c r="D1057" s="50">
        <f t="shared" si="25"/>
        <v>60240</v>
      </c>
      <c r="E1057" s="10"/>
      <c r="F1057" s="10"/>
      <c r="G1057" s="10"/>
    </row>
    <row r="1058" spans="1:7" ht="18.75" x14ac:dyDescent="0.3">
      <c r="A1058" s="2" t="s">
        <v>339</v>
      </c>
      <c r="B1058" s="12">
        <v>65</v>
      </c>
      <c r="C1058" s="5">
        <v>753</v>
      </c>
      <c r="D1058" s="50">
        <f t="shared" si="25"/>
        <v>48945</v>
      </c>
      <c r="E1058" s="10"/>
      <c r="F1058" s="10"/>
      <c r="G1058" s="10"/>
    </row>
    <row r="1059" spans="1:7" ht="18.75" x14ac:dyDescent="0.3">
      <c r="A1059" s="2" t="s">
        <v>488</v>
      </c>
      <c r="B1059" s="12">
        <v>60</v>
      </c>
      <c r="C1059" s="3">
        <v>753</v>
      </c>
      <c r="D1059" s="50">
        <f t="shared" si="25"/>
        <v>45180</v>
      </c>
      <c r="E1059" s="10"/>
      <c r="F1059" s="10"/>
      <c r="G1059" s="14">
        <f>E1054-D1069-D1070-D1071-D1072-D1073-D1074-D1075-D1076-D1077-D1078-D1079-D1080-D1081-D1082-D1083-D1084-D1085-D1086-D1087-D1088-D1089-D1090-D1091-D1091</f>
        <v>0</v>
      </c>
    </row>
    <row r="1060" spans="1:7" ht="18.75" x14ac:dyDescent="0.3">
      <c r="A1060" s="2" t="s">
        <v>632</v>
      </c>
      <c r="B1060" s="12">
        <v>43</v>
      </c>
      <c r="C1060" s="3">
        <v>753</v>
      </c>
      <c r="D1060" s="50">
        <f t="shared" si="25"/>
        <v>32379</v>
      </c>
      <c r="E1060" s="10"/>
      <c r="F1060" s="10"/>
      <c r="G1060" s="10"/>
    </row>
    <row r="1061" spans="1:7" ht="18.75" x14ac:dyDescent="0.3">
      <c r="A1061" s="2" t="s">
        <v>41</v>
      </c>
      <c r="B1061" s="12">
        <v>117</v>
      </c>
      <c r="C1061" s="3">
        <v>753</v>
      </c>
      <c r="D1061" s="50">
        <f t="shared" si="25"/>
        <v>88101</v>
      </c>
      <c r="E1061" s="10"/>
      <c r="F1061" s="10"/>
    </row>
    <row r="1062" spans="1:7" ht="18.75" x14ac:dyDescent="0.3">
      <c r="A1062" s="2"/>
      <c r="B1062" s="15"/>
      <c r="C1062" s="3"/>
      <c r="D1062" s="50">
        <f t="shared" si="25"/>
        <v>0</v>
      </c>
      <c r="E1062" s="10"/>
      <c r="F1062" s="10"/>
    </row>
    <row r="1063" spans="1:7" ht="18.75" x14ac:dyDescent="0.3">
      <c r="A1063" s="2"/>
      <c r="B1063" s="15"/>
      <c r="C1063" s="3"/>
      <c r="D1063" s="50">
        <f t="shared" si="25"/>
        <v>0</v>
      </c>
      <c r="E1063" s="10"/>
      <c r="F1063" s="16"/>
    </row>
    <row r="1064" spans="1:7" ht="18.75" x14ac:dyDescent="0.3">
      <c r="A1064" s="2"/>
      <c r="B1064" s="15"/>
      <c r="C1064" s="3"/>
      <c r="D1064" s="50"/>
      <c r="E1064" s="10"/>
      <c r="F1064" s="17"/>
    </row>
    <row r="1065" spans="1:7" ht="18.75" x14ac:dyDescent="0.3">
      <c r="A1065" s="2"/>
      <c r="B1065" s="12"/>
      <c r="C1065" s="3"/>
      <c r="D1065" s="50"/>
      <c r="E1065" s="10"/>
      <c r="F1065" s="10"/>
    </row>
    <row r="1066" spans="1:7" ht="18.75" x14ac:dyDescent="0.3">
      <c r="A1066" s="2"/>
      <c r="B1066" s="12"/>
      <c r="C1066" s="3"/>
      <c r="D1066" s="50"/>
      <c r="E1066" s="10"/>
      <c r="F1066" s="10"/>
    </row>
    <row r="1067" spans="1:7" ht="18.75" x14ac:dyDescent="0.3">
      <c r="A1067" s="18"/>
      <c r="B1067" s="19"/>
      <c r="C1067" s="20"/>
      <c r="D1067" s="13"/>
      <c r="E1067" s="10"/>
      <c r="F1067" s="10"/>
    </row>
    <row r="1068" spans="1:7" ht="18.75" x14ac:dyDescent="0.3">
      <c r="A1068" s="1" t="s">
        <v>10</v>
      </c>
      <c r="B1068" s="1" t="s">
        <v>11</v>
      </c>
      <c r="C1068" s="1" t="s">
        <v>12</v>
      </c>
      <c r="D1068" s="1" t="s">
        <v>13</v>
      </c>
      <c r="E1068" s="1" t="s">
        <v>14</v>
      </c>
      <c r="F1068" s="10"/>
    </row>
    <row r="1069" spans="1:7" ht="18.75" x14ac:dyDescent="0.3">
      <c r="A1069" s="3" t="s">
        <v>42</v>
      </c>
      <c r="B1069" s="4" t="s">
        <v>730</v>
      </c>
      <c r="C1069" s="3">
        <v>753</v>
      </c>
      <c r="D1069" s="58">
        <v>60240</v>
      </c>
      <c r="E1069" s="3"/>
      <c r="F1069" s="10"/>
    </row>
    <row r="1070" spans="1:7" ht="18.75" x14ac:dyDescent="0.3">
      <c r="A1070" s="3" t="s">
        <v>42</v>
      </c>
      <c r="B1070" s="4" t="s">
        <v>86</v>
      </c>
      <c r="C1070" s="3">
        <v>753</v>
      </c>
      <c r="D1070" s="58">
        <v>71535</v>
      </c>
      <c r="E1070" s="5"/>
      <c r="F1070" s="10"/>
    </row>
    <row r="1071" spans="1:7" ht="18.75" x14ac:dyDescent="0.3">
      <c r="A1071" s="3" t="s">
        <v>42</v>
      </c>
      <c r="B1071" s="4" t="s">
        <v>726</v>
      </c>
      <c r="C1071" s="3">
        <v>753</v>
      </c>
      <c r="D1071" s="58">
        <v>45180</v>
      </c>
      <c r="E1071" s="5"/>
      <c r="F1071" s="10"/>
    </row>
    <row r="1072" spans="1:7" ht="18.75" x14ac:dyDescent="0.3">
      <c r="A1072" s="3" t="s">
        <v>17</v>
      </c>
      <c r="B1072" s="4" t="s">
        <v>727</v>
      </c>
      <c r="C1072" s="5">
        <v>753</v>
      </c>
      <c r="D1072" s="58">
        <v>60240</v>
      </c>
      <c r="E1072" s="3"/>
      <c r="F1072" s="10"/>
    </row>
    <row r="1073" spans="1:6" ht="18.75" x14ac:dyDescent="0.3">
      <c r="A1073" s="6" t="s">
        <v>42</v>
      </c>
      <c r="B1073" s="4" t="s">
        <v>101</v>
      </c>
      <c r="C1073" s="3">
        <v>753</v>
      </c>
      <c r="D1073" s="58">
        <v>32379</v>
      </c>
      <c r="E1073" s="5"/>
      <c r="F1073" s="10"/>
    </row>
    <row r="1074" spans="1:6" ht="18.75" x14ac:dyDescent="0.3">
      <c r="A1074" s="3" t="s">
        <v>29</v>
      </c>
      <c r="B1074" s="4" t="s">
        <v>728</v>
      </c>
      <c r="C1074" s="3">
        <v>753</v>
      </c>
      <c r="D1074" s="58">
        <v>48945</v>
      </c>
      <c r="E1074" s="5"/>
      <c r="F1074" s="10"/>
    </row>
    <row r="1075" spans="1:6" ht="18.75" x14ac:dyDescent="0.3">
      <c r="A1075" s="3" t="s">
        <v>67</v>
      </c>
      <c r="B1075" s="4" t="s">
        <v>67</v>
      </c>
      <c r="C1075" s="3">
        <v>753</v>
      </c>
      <c r="D1075" s="58">
        <v>88101</v>
      </c>
      <c r="E1075" s="5"/>
      <c r="F1075" s="10"/>
    </row>
    <row r="1076" spans="1:6" ht="18.75" x14ac:dyDescent="0.3">
      <c r="A1076" s="3"/>
      <c r="B1076" s="4"/>
      <c r="C1076" s="3"/>
      <c r="D1076" s="58"/>
      <c r="E1076" s="3"/>
      <c r="F1076" s="10"/>
    </row>
    <row r="1077" spans="1:6" ht="18.75" x14ac:dyDescent="0.3">
      <c r="A1077" s="3"/>
      <c r="B1077" s="4"/>
      <c r="C1077" s="3"/>
      <c r="D1077" s="58"/>
      <c r="E1077" s="3"/>
      <c r="F1077" s="10"/>
    </row>
    <row r="1078" spans="1:6" ht="18.75" x14ac:dyDescent="0.3">
      <c r="A1078" s="3"/>
      <c r="B1078" s="4"/>
      <c r="C1078" s="3"/>
      <c r="D1078" s="58"/>
      <c r="E1078" s="3"/>
      <c r="F1078" s="10"/>
    </row>
    <row r="1079" spans="1:6" ht="18.75" x14ac:dyDescent="0.3">
      <c r="A1079" s="3"/>
      <c r="B1079" s="4"/>
      <c r="C1079" s="3"/>
      <c r="D1079" s="58"/>
      <c r="E1079" s="3"/>
      <c r="F1079" s="10"/>
    </row>
    <row r="1080" spans="1:6" ht="18.75" x14ac:dyDescent="0.3">
      <c r="A1080" s="3"/>
      <c r="B1080" s="4"/>
      <c r="C1080" s="3"/>
      <c r="D1080" s="58"/>
      <c r="E1080" s="3"/>
      <c r="F1080" s="10"/>
    </row>
    <row r="1081" spans="1:6" ht="18.75" x14ac:dyDescent="0.3">
      <c r="A1081" s="3"/>
      <c r="B1081" s="4"/>
      <c r="C1081" s="3"/>
      <c r="D1081" s="5"/>
      <c r="E1081" s="3" t="s">
        <v>249</v>
      </c>
      <c r="F1081" s="10"/>
    </row>
    <row r="1082" spans="1:6" ht="18.75" x14ac:dyDescent="0.3">
      <c r="A1082" s="3"/>
      <c r="B1082" s="4"/>
      <c r="C1082" s="3"/>
      <c r="D1082" s="5"/>
      <c r="E1082" s="3"/>
      <c r="F1082" s="10"/>
    </row>
    <row r="1083" spans="1:6" ht="18.75" x14ac:dyDescent="0.3">
      <c r="A1083" s="3"/>
      <c r="B1083" s="4"/>
      <c r="C1083" s="3"/>
      <c r="D1083" s="5"/>
      <c r="E1083" s="3"/>
      <c r="F1083" s="10"/>
    </row>
    <row r="1084" spans="1:6" ht="18.75" x14ac:dyDescent="0.3">
      <c r="A1084" s="3"/>
      <c r="B1084" s="4"/>
      <c r="C1084" s="5"/>
      <c r="D1084" s="5"/>
      <c r="E1084" s="3"/>
      <c r="F1084" s="10"/>
    </row>
    <row r="1085" spans="1:6" ht="18.75" x14ac:dyDescent="0.3">
      <c r="A1085" s="3"/>
      <c r="B1085" s="4"/>
      <c r="C1085" s="5"/>
      <c r="D1085" s="5"/>
      <c r="E1085" s="3"/>
    </row>
    <row r="1086" spans="1:6" ht="18.75" x14ac:dyDescent="0.3">
      <c r="A1086" s="3"/>
      <c r="B1086" s="4"/>
      <c r="C1086" s="5"/>
      <c r="D1086" s="5"/>
      <c r="E1086" s="3"/>
    </row>
    <row r="1087" spans="1:6" ht="18.75" x14ac:dyDescent="0.3">
      <c r="A1087" s="3"/>
      <c r="B1087" s="4"/>
      <c r="C1087" s="5"/>
      <c r="D1087" s="5"/>
      <c r="E1087" s="3"/>
    </row>
    <row r="1088" spans="1:6" ht="18.75" x14ac:dyDescent="0.3">
      <c r="A1088" s="3"/>
      <c r="B1088" s="4"/>
      <c r="C1088" s="5"/>
      <c r="D1088" s="5"/>
      <c r="E1088" s="3"/>
    </row>
    <row r="1089" spans="1:7" ht="18.75" x14ac:dyDescent="0.3">
      <c r="A1089" s="3"/>
      <c r="B1089" s="4"/>
      <c r="C1089" s="5"/>
      <c r="D1089" s="5"/>
      <c r="E1089" s="3"/>
    </row>
    <row r="1090" spans="1:7" ht="18.75" x14ac:dyDescent="0.3">
      <c r="A1090" s="3"/>
      <c r="B1090" s="4"/>
      <c r="C1090" s="5"/>
      <c r="D1090" s="5"/>
      <c r="E1090" s="37"/>
    </row>
    <row r="1096" spans="1:7" ht="18.75" x14ac:dyDescent="0.3">
      <c r="A1096" s="35" t="s">
        <v>0</v>
      </c>
      <c r="B1096" s="35" t="s">
        <v>1</v>
      </c>
      <c r="C1096" s="35" t="s">
        <v>2</v>
      </c>
      <c r="D1096" s="35" t="s">
        <v>3</v>
      </c>
      <c r="E1096" s="35" t="s">
        <v>4</v>
      </c>
      <c r="F1096" s="35" t="s">
        <v>5</v>
      </c>
      <c r="G1096" s="35" t="s">
        <v>6</v>
      </c>
    </row>
    <row r="1097" spans="1:7" ht="18.75" x14ac:dyDescent="0.3">
      <c r="A1097" s="22">
        <v>1892</v>
      </c>
      <c r="B1097" s="22" t="s">
        <v>19</v>
      </c>
      <c r="C1097" s="23" t="s">
        <v>731</v>
      </c>
      <c r="D1097" s="24">
        <v>900</v>
      </c>
      <c r="E1097" s="22">
        <v>1500</v>
      </c>
      <c r="F1097" s="25" t="s">
        <v>510</v>
      </c>
      <c r="G1097" s="26">
        <f>D1097*E1097</f>
        <v>1350000</v>
      </c>
    </row>
    <row r="1098" spans="1:7" ht="18.75" x14ac:dyDescent="0.3">
      <c r="A1098" s="1" t="s">
        <v>7</v>
      </c>
      <c r="B1098" s="7">
        <v>8.1</v>
      </c>
      <c r="C1098" s="48" t="s">
        <v>3</v>
      </c>
      <c r="D1098" s="48" t="s">
        <v>8</v>
      </c>
      <c r="E1098" s="46">
        <v>810000</v>
      </c>
      <c r="F1098" s="10"/>
      <c r="G1098" s="11"/>
    </row>
    <row r="1099" spans="1:7" ht="18.75" x14ac:dyDescent="0.3">
      <c r="A1099" s="2" t="s">
        <v>174</v>
      </c>
      <c r="B1099" s="12">
        <v>58</v>
      </c>
      <c r="C1099" s="5"/>
      <c r="D1099" s="50">
        <f t="shared" ref="D1099:D1107" si="26">B1099*C1099</f>
        <v>0</v>
      </c>
      <c r="E1099" s="21">
        <v>0.6</v>
      </c>
      <c r="F1099" s="10"/>
      <c r="G1099" s="21">
        <v>0.4</v>
      </c>
    </row>
    <row r="1100" spans="1:7" ht="18.75" x14ac:dyDescent="0.3">
      <c r="A1100" s="2" t="s">
        <v>257</v>
      </c>
      <c r="B1100" s="12">
        <v>130</v>
      </c>
      <c r="C1100" s="3"/>
      <c r="D1100" s="50">
        <f t="shared" si="26"/>
        <v>0</v>
      </c>
      <c r="E1100" s="10"/>
      <c r="F1100" s="10"/>
      <c r="G1100" s="10"/>
    </row>
    <row r="1101" spans="1:7" ht="18.75" x14ac:dyDescent="0.3">
      <c r="A1101" s="2" t="s">
        <v>209</v>
      </c>
      <c r="B1101" s="12">
        <v>100</v>
      </c>
      <c r="C1101" s="3"/>
      <c r="D1101" s="50">
        <f t="shared" si="26"/>
        <v>0</v>
      </c>
      <c r="E1101" s="10"/>
      <c r="F1101" s="10"/>
      <c r="G1101" s="10"/>
    </row>
    <row r="1102" spans="1:7" ht="18.75" x14ac:dyDescent="0.3">
      <c r="A1102" s="2" t="s">
        <v>70</v>
      </c>
      <c r="B1102" s="12"/>
      <c r="C1102" s="5"/>
      <c r="D1102" s="50">
        <f t="shared" si="26"/>
        <v>0</v>
      </c>
      <c r="E1102" s="10"/>
      <c r="F1102" s="10"/>
      <c r="G1102" s="10"/>
    </row>
    <row r="1103" spans="1:7" ht="18.75" x14ac:dyDescent="0.3">
      <c r="A1103" s="2" t="s">
        <v>75</v>
      </c>
      <c r="B1103" s="12"/>
      <c r="C1103" s="3"/>
      <c r="D1103" s="50">
        <f t="shared" si="26"/>
        <v>0</v>
      </c>
      <c r="E1103" s="10"/>
      <c r="F1103" s="10"/>
      <c r="G1103" s="14">
        <f>E1098-D1113-D1114-D1115-D1116-D1117-D1118-D1119-D1120-D1121-D1122-D1123-D1124-D1125-D1126-D1127-D1128-D1129-D1130-D1131-D1132-D1133-D1134-D1135</f>
        <v>810000</v>
      </c>
    </row>
    <row r="1104" spans="1:7" ht="18.75" x14ac:dyDescent="0.3">
      <c r="A1104" s="2" t="s">
        <v>460</v>
      </c>
      <c r="B1104" s="12">
        <v>200</v>
      </c>
      <c r="C1104" s="3"/>
      <c r="D1104" s="50">
        <f t="shared" si="26"/>
        <v>0</v>
      </c>
      <c r="E1104" s="10"/>
      <c r="F1104" s="10"/>
      <c r="G1104" s="10"/>
    </row>
    <row r="1105" spans="1:6" ht="18.75" x14ac:dyDescent="0.3">
      <c r="A1105" s="2" t="s">
        <v>751</v>
      </c>
      <c r="B1105" s="12"/>
      <c r="C1105" s="3"/>
      <c r="D1105" s="50">
        <f t="shared" si="26"/>
        <v>0</v>
      </c>
      <c r="E1105" s="10"/>
      <c r="F1105" s="10"/>
    </row>
    <row r="1106" spans="1:6" ht="18.75" x14ac:dyDescent="0.3">
      <c r="A1106" s="2"/>
      <c r="B1106" s="15"/>
      <c r="C1106" s="3"/>
      <c r="D1106" s="50">
        <f t="shared" si="26"/>
        <v>0</v>
      </c>
      <c r="E1106" s="10"/>
      <c r="F1106" s="10"/>
    </row>
    <row r="1107" spans="1:6" ht="18.75" x14ac:dyDescent="0.3">
      <c r="A1107" s="2"/>
      <c r="B1107" s="15"/>
      <c r="C1107" s="3"/>
      <c r="D1107" s="50">
        <f t="shared" si="26"/>
        <v>0</v>
      </c>
      <c r="E1107" s="10"/>
      <c r="F1107" s="16"/>
    </row>
    <row r="1108" spans="1:6" ht="18.75" x14ac:dyDescent="0.3">
      <c r="A1108" s="2"/>
      <c r="B1108" s="15"/>
      <c r="C1108" s="3"/>
      <c r="D1108" s="50"/>
      <c r="E1108" s="10"/>
      <c r="F1108" s="17"/>
    </row>
    <row r="1109" spans="1:6" ht="18.75" x14ac:dyDescent="0.3">
      <c r="A1109" s="2"/>
      <c r="B1109" s="12"/>
      <c r="C1109" s="3"/>
      <c r="D1109" s="50"/>
      <c r="E1109" s="10"/>
      <c r="F1109" s="10"/>
    </row>
    <row r="1110" spans="1:6" ht="18.75" x14ac:dyDescent="0.3">
      <c r="A1110" s="2"/>
      <c r="B1110" s="12"/>
      <c r="C1110" s="3"/>
      <c r="D1110" s="50"/>
      <c r="E1110" s="10"/>
      <c r="F1110" s="10"/>
    </row>
    <row r="1111" spans="1:6" ht="18.75" x14ac:dyDescent="0.3">
      <c r="A1111" s="18"/>
      <c r="B1111" s="19"/>
      <c r="C1111" s="20"/>
      <c r="D1111" s="13"/>
      <c r="E1111" s="10"/>
      <c r="F1111" s="10"/>
    </row>
    <row r="1112" spans="1:6" ht="18.75" x14ac:dyDescent="0.3">
      <c r="A1112" s="1" t="s">
        <v>10</v>
      </c>
      <c r="B1112" s="1" t="s">
        <v>11</v>
      </c>
      <c r="C1112" s="1" t="s">
        <v>12</v>
      </c>
      <c r="D1112" s="1" t="s">
        <v>13</v>
      </c>
      <c r="E1112" s="1" t="s">
        <v>14</v>
      </c>
      <c r="F1112" s="10"/>
    </row>
    <row r="1113" spans="1:6" ht="18.75" x14ac:dyDescent="0.3">
      <c r="A1113" s="3" t="s">
        <v>15</v>
      </c>
      <c r="B1113" s="4" t="s">
        <v>750</v>
      </c>
      <c r="C1113" s="3">
        <v>900</v>
      </c>
      <c r="D1113" s="58"/>
      <c r="E1113" s="3"/>
      <c r="F1113" s="10"/>
    </row>
    <row r="1114" spans="1:6" ht="18.75" x14ac:dyDescent="0.3">
      <c r="A1114" s="3" t="s">
        <v>42</v>
      </c>
      <c r="B1114" s="4" t="s">
        <v>752</v>
      </c>
      <c r="C1114" s="3">
        <v>900</v>
      </c>
      <c r="D1114" s="58"/>
      <c r="E1114" s="5"/>
      <c r="F1114" s="10"/>
    </row>
    <row r="1115" spans="1:6" ht="18.75" x14ac:dyDescent="0.3">
      <c r="A1115" s="3" t="s">
        <v>17</v>
      </c>
      <c r="B1115" s="4" t="s">
        <v>70</v>
      </c>
      <c r="C1115" s="3">
        <v>900</v>
      </c>
      <c r="D1115" s="58"/>
      <c r="E1115" s="5"/>
      <c r="F1115" s="10"/>
    </row>
    <row r="1116" spans="1:6" ht="18.75" x14ac:dyDescent="0.3">
      <c r="A1116" s="3" t="s">
        <v>17</v>
      </c>
      <c r="B1116" s="4" t="s">
        <v>75</v>
      </c>
      <c r="C1116" s="5">
        <v>900</v>
      </c>
      <c r="D1116" s="58"/>
      <c r="E1116" s="3"/>
      <c r="F1116" s="10"/>
    </row>
    <row r="1117" spans="1:6" ht="18.75" x14ac:dyDescent="0.3">
      <c r="A1117" s="6" t="s">
        <v>332</v>
      </c>
      <c r="B1117" s="4" t="s">
        <v>753</v>
      </c>
      <c r="C1117" s="3">
        <v>900</v>
      </c>
      <c r="D1117" s="58"/>
      <c r="E1117" s="5"/>
      <c r="F1117" s="10"/>
    </row>
    <row r="1118" spans="1:6" ht="18.75" x14ac:dyDescent="0.3">
      <c r="A1118" s="3" t="s">
        <v>113</v>
      </c>
      <c r="B1118" s="4" t="s">
        <v>754</v>
      </c>
      <c r="C1118" s="3">
        <v>900</v>
      </c>
      <c r="D1118" s="58"/>
      <c r="E1118" s="5"/>
      <c r="F1118" s="10"/>
    </row>
    <row r="1119" spans="1:6" ht="18.75" x14ac:dyDescent="0.3">
      <c r="A1119" s="3"/>
      <c r="B1119" s="4"/>
      <c r="C1119" s="3"/>
      <c r="D1119" s="58"/>
      <c r="E1119" s="5"/>
      <c r="F1119" s="10"/>
    </row>
    <row r="1120" spans="1:6" ht="18.75" x14ac:dyDescent="0.3">
      <c r="A1120" s="3"/>
      <c r="B1120" s="4"/>
      <c r="C1120" s="3"/>
      <c r="D1120" s="58"/>
      <c r="E1120" s="3"/>
      <c r="F1120" s="10"/>
    </row>
    <row r="1121" spans="1:6" ht="18.75" x14ac:dyDescent="0.3">
      <c r="A1121" s="3"/>
      <c r="B1121" s="4"/>
      <c r="C1121" s="3"/>
      <c r="D1121" s="58"/>
      <c r="E1121" s="3"/>
      <c r="F1121" s="10"/>
    </row>
    <row r="1122" spans="1:6" ht="18.75" x14ac:dyDescent="0.3">
      <c r="A1122" s="3"/>
      <c r="B1122" s="4"/>
      <c r="C1122" s="3"/>
      <c r="D1122" s="58"/>
      <c r="E1122" s="3"/>
      <c r="F1122" s="10"/>
    </row>
    <row r="1123" spans="1:6" ht="18.75" x14ac:dyDescent="0.3">
      <c r="A1123" s="3"/>
      <c r="B1123" s="4"/>
      <c r="C1123" s="3"/>
      <c r="D1123" s="58"/>
      <c r="E1123" s="3"/>
      <c r="F1123" s="10"/>
    </row>
    <row r="1124" spans="1:6" ht="18.75" x14ac:dyDescent="0.3">
      <c r="A1124" s="3"/>
      <c r="B1124" s="4"/>
      <c r="C1124" s="3"/>
      <c r="D1124" s="58"/>
      <c r="E1124" s="3"/>
      <c r="F1124" s="10"/>
    </row>
    <row r="1125" spans="1:6" ht="18.75" x14ac:dyDescent="0.3">
      <c r="A1125" s="3"/>
      <c r="B1125" s="4"/>
      <c r="C1125" s="3"/>
      <c r="D1125" s="5"/>
      <c r="E1125" s="3" t="s">
        <v>249</v>
      </c>
      <c r="F1125" s="10"/>
    </row>
    <row r="1126" spans="1:6" ht="18.75" x14ac:dyDescent="0.3">
      <c r="A1126" s="3"/>
      <c r="B1126" s="4"/>
      <c r="C1126" s="3"/>
      <c r="D1126" s="5"/>
      <c r="E1126" s="3"/>
      <c r="F1126" s="10"/>
    </row>
    <row r="1127" spans="1:6" ht="18.75" x14ac:dyDescent="0.3">
      <c r="A1127" s="3"/>
      <c r="B1127" s="4"/>
      <c r="C1127" s="3"/>
      <c r="D1127" s="5"/>
      <c r="E1127" s="3"/>
      <c r="F1127" s="10"/>
    </row>
    <row r="1128" spans="1:6" ht="18.75" x14ac:dyDescent="0.3">
      <c r="A1128" s="3"/>
      <c r="B1128" s="4"/>
      <c r="C1128" s="5"/>
      <c r="D1128" s="5"/>
      <c r="E1128" s="3"/>
      <c r="F1128" s="10"/>
    </row>
    <row r="1129" spans="1:6" ht="18.75" x14ac:dyDescent="0.3">
      <c r="A1129" s="3"/>
      <c r="B1129" s="4"/>
      <c r="C1129" s="5"/>
      <c r="D1129" s="5"/>
      <c r="E1129" s="3"/>
    </row>
    <row r="1130" spans="1:6" ht="18.75" x14ac:dyDescent="0.3">
      <c r="A1130" s="3"/>
      <c r="B1130" s="4"/>
      <c r="C1130" s="5"/>
      <c r="D1130" s="5"/>
      <c r="E1130" s="3"/>
    </row>
    <row r="1131" spans="1:6" ht="18.75" x14ac:dyDescent="0.3">
      <c r="A1131" s="3"/>
      <c r="B1131" s="4"/>
      <c r="C1131" s="5"/>
      <c r="D1131" s="5"/>
      <c r="E1131" s="3"/>
    </row>
    <row r="1132" spans="1:6" ht="18.75" x14ac:dyDescent="0.3">
      <c r="A1132" s="3"/>
      <c r="B1132" s="4"/>
      <c r="C1132" s="5"/>
      <c r="D1132" s="5"/>
      <c r="E1132" s="3"/>
    </row>
    <row r="1133" spans="1:6" ht="18.75" x14ac:dyDescent="0.3">
      <c r="A1133" s="3"/>
      <c r="B1133" s="4"/>
      <c r="C1133" s="5"/>
      <c r="D1133" s="5"/>
      <c r="E1133" s="3"/>
    </row>
    <row r="1134" spans="1:6" ht="18.75" x14ac:dyDescent="0.3">
      <c r="A1134" s="3"/>
      <c r="B1134" s="4"/>
      <c r="C1134" s="5"/>
      <c r="D1134" s="5"/>
      <c r="E1134" s="37"/>
    </row>
    <row r="1137" spans="1:7" x14ac:dyDescent="0.25">
      <c r="A1137" s="134" t="s">
        <v>761</v>
      </c>
      <c r="B1137" s="134"/>
      <c r="C1137" s="134"/>
    </row>
    <row r="1138" spans="1:7" x14ac:dyDescent="0.25">
      <c r="A1138" s="134"/>
      <c r="B1138" s="134"/>
      <c r="C1138" s="134"/>
    </row>
    <row r="1140" spans="1:7" ht="18.75" x14ac:dyDescent="0.3">
      <c r="A1140" s="35" t="s">
        <v>0</v>
      </c>
      <c r="B1140" s="35" t="s">
        <v>1</v>
      </c>
      <c r="C1140" s="35" t="s">
        <v>2</v>
      </c>
      <c r="D1140" s="35" t="s">
        <v>3</v>
      </c>
      <c r="E1140" s="35" t="s">
        <v>4</v>
      </c>
      <c r="F1140" s="35" t="s">
        <v>5</v>
      </c>
      <c r="G1140" s="35" t="s">
        <v>6</v>
      </c>
    </row>
    <row r="1141" spans="1:7" ht="18.75" x14ac:dyDescent="0.3">
      <c r="A1141" s="22">
        <v>2000</v>
      </c>
      <c r="B1141" s="22" t="s">
        <v>19</v>
      </c>
      <c r="C1141" s="23" t="s">
        <v>164</v>
      </c>
      <c r="D1141" s="24">
        <v>2328</v>
      </c>
      <c r="E1141" s="22">
        <v>900</v>
      </c>
      <c r="F1141" s="25"/>
      <c r="G1141" s="26">
        <f>D1141*E1141</f>
        <v>2095200</v>
      </c>
    </row>
    <row r="1142" spans="1:7" ht="18.75" x14ac:dyDescent="0.3">
      <c r="A1142" s="1" t="s">
        <v>7</v>
      </c>
      <c r="B1142" s="7">
        <v>5.4</v>
      </c>
      <c r="C1142" s="48" t="s">
        <v>3</v>
      </c>
      <c r="D1142" s="48" t="s">
        <v>8</v>
      </c>
      <c r="E1142" s="46">
        <v>1257120</v>
      </c>
      <c r="F1142" s="10"/>
      <c r="G1142" s="11">
        <v>838080</v>
      </c>
    </row>
    <row r="1143" spans="1:7" ht="18.75" x14ac:dyDescent="0.3">
      <c r="A1143" s="2" t="s">
        <v>9</v>
      </c>
      <c r="B1143" s="12">
        <v>58</v>
      </c>
      <c r="C1143" s="5">
        <v>1164</v>
      </c>
      <c r="D1143" s="50">
        <f t="shared" ref="D1143:D1151" si="27">B1143*C1143</f>
        <v>67512</v>
      </c>
      <c r="E1143" s="21">
        <v>0.6</v>
      </c>
      <c r="F1143" s="10"/>
      <c r="G1143" s="21">
        <v>0.4</v>
      </c>
    </row>
    <row r="1144" spans="1:7" ht="18.75" x14ac:dyDescent="0.3">
      <c r="A1144" s="2" t="s">
        <v>766</v>
      </c>
      <c r="B1144" s="12">
        <v>86</v>
      </c>
      <c r="C1144" s="3"/>
      <c r="D1144" s="50">
        <f t="shared" si="27"/>
        <v>0</v>
      </c>
      <c r="E1144" s="10"/>
      <c r="F1144" s="10"/>
      <c r="G1144" s="10"/>
    </row>
    <row r="1145" spans="1:7" ht="18.75" x14ac:dyDescent="0.3">
      <c r="A1145" s="2" t="s">
        <v>284</v>
      </c>
      <c r="B1145" s="12">
        <v>60</v>
      </c>
      <c r="C1145" s="3"/>
      <c r="D1145" s="50">
        <f t="shared" si="27"/>
        <v>0</v>
      </c>
      <c r="E1145" s="10"/>
      <c r="F1145" s="10"/>
      <c r="G1145" s="10"/>
    </row>
    <row r="1146" spans="1:7" ht="18.75" x14ac:dyDescent="0.3">
      <c r="A1146" s="2" t="s">
        <v>46</v>
      </c>
      <c r="B1146" s="12">
        <v>89</v>
      </c>
      <c r="C1146" s="5">
        <v>1164</v>
      </c>
      <c r="D1146" s="50">
        <f t="shared" si="27"/>
        <v>103596</v>
      </c>
      <c r="E1146" s="10"/>
      <c r="F1146" s="10"/>
      <c r="G1146" s="10"/>
    </row>
    <row r="1147" spans="1:7" ht="18.75" x14ac:dyDescent="0.3">
      <c r="A1147" s="2" t="s">
        <v>75</v>
      </c>
      <c r="B1147" s="12">
        <v>66</v>
      </c>
      <c r="C1147" s="3"/>
      <c r="D1147" s="50">
        <f t="shared" si="27"/>
        <v>0</v>
      </c>
      <c r="E1147" s="10"/>
      <c r="F1147" s="10"/>
      <c r="G1147" s="14">
        <f>E1142-D1157-D1158-D1159-D1160-D1161-D1162-D1163-D1164-D1165-D1166-D1167-D1168-D1169-D1170-D1171-D1172-D1173-D1174-D1175-D1176</f>
        <v>0</v>
      </c>
    </row>
    <row r="1148" spans="1:7" ht="18.75" x14ac:dyDescent="0.3">
      <c r="A1148" s="2" t="s">
        <v>767</v>
      </c>
      <c r="B1148" s="12">
        <v>64</v>
      </c>
      <c r="C1148" s="3"/>
      <c r="D1148" s="50">
        <f t="shared" si="27"/>
        <v>0</v>
      </c>
      <c r="E1148" s="10"/>
      <c r="F1148" s="10"/>
      <c r="G1148" s="10"/>
    </row>
    <row r="1149" spans="1:7" ht="18.75" x14ac:dyDescent="0.3">
      <c r="A1149" s="2" t="s">
        <v>53</v>
      </c>
      <c r="B1149" s="12">
        <v>43</v>
      </c>
      <c r="C1149" s="3"/>
      <c r="D1149" s="50">
        <f t="shared" si="27"/>
        <v>0</v>
      </c>
      <c r="E1149" s="10"/>
      <c r="F1149" s="10"/>
    </row>
    <row r="1150" spans="1:7" ht="18.75" x14ac:dyDescent="0.3">
      <c r="A1150" s="2" t="s">
        <v>41</v>
      </c>
      <c r="B1150" s="15">
        <v>74</v>
      </c>
      <c r="C1150" s="3">
        <v>2328</v>
      </c>
      <c r="D1150" s="50">
        <f t="shared" si="27"/>
        <v>172272</v>
      </c>
      <c r="E1150" s="10"/>
      <c r="F1150" s="10"/>
    </row>
    <row r="1151" spans="1:7" ht="18.75" x14ac:dyDescent="0.3">
      <c r="A1151" s="2"/>
      <c r="B1151" s="15"/>
      <c r="C1151" s="3"/>
      <c r="D1151" s="50">
        <f t="shared" si="27"/>
        <v>0</v>
      </c>
      <c r="E1151" s="10"/>
      <c r="F1151" s="16"/>
    </row>
    <row r="1152" spans="1:7" ht="18.75" x14ac:dyDescent="0.3">
      <c r="A1152" s="2"/>
      <c r="B1152" s="15"/>
      <c r="C1152" s="3"/>
      <c r="D1152" s="50"/>
      <c r="E1152" s="10"/>
      <c r="F1152" s="17"/>
    </row>
    <row r="1153" spans="1:6" ht="18.75" x14ac:dyDescent="0.3">
      <c r="A1153" s="2"/>
      <c r="B1153" s="12"/>
      <c r="C1153" s="3"/>
      <c r="D1153" s="50"/>
      <c r="E1153" s="10"/>
      <c r="F1153" s="10"/>
    </row>
    <row r="1154" spans="1:6" ht="18.75" x14ac:dyDescent="0.3">
      <c r="A1154" s="2"/>
      <c r="B1154" s="12"/>
      <c r="C1154" s="3"/>
      <c r="D1154" s="50"/>
      <c r="E1154" s="10"/>
      <c r="F1154" s="10"/>
    </row>
    <row r="1155" spans="1:6" ht="18.75" x14ac:dyDescent="0.3">
      <c r="A1155" s="18"/>
      <c r="B1155" s="19"/>
      <c r="C1155" s="20"/>
      <c r="D1155" s="13"/>
      <c r="E1155" s="10"/>
      <c r="F1155" s="10"/>
    </row>
    <row r="1156" spans="1:6" ht="18.75" x14ac:dyDescent="0.3">
      <c r="A1156" s="1" t="s">
        <v>10</v>
      </c>
      <c r="B1156" s="1" t="s">
        <v>11</v>
      </c>
      <c r="C1156" s="1" t="s">
        <v>12</v>
      </c>
      <c r="D1156" s="1" t="s">
        <v>13</v>
      </c>
      <c r="E1156" s="1" t="s">
        <v>14</v>
      </c>
      <c r="F1156" s="10"/>
    </row>
    <row r="1157" spans="1:6" ht="18.75" x14ac:dyDescent="0.3">
      <c r="A1157" s="3" t="s">
        <v>59</v>
      </c>
      <c r="B1157" s="4" t="s">
        <v>41</v>
      </c>
      <c r="C1157" s="3">
        <v>2328</v>
      </c>
      <c r="D1157" s="58">
        <v>172272</v>
      </c>
      <c r="E1157" s="3"/>
      <c r="F1157" s="10"/>
    </row>
    <row r="1158" spans="1:6" ht="18.75" x14ac:dyDescent="0.3">
      <c r="A1158" s="3" t="s">
        <v>674</v>
      </c>
      <c r="B1158" s="4" t="s">
        <v>768</v>
      </c>
      <c r="C1158" s="3">
        <v>1164</v>
      </c>
      <c r="D1158" s="58">
        <v>67512</v>
      </c>
      <c r="E1158" s="5"/>
      <c r="F1158" s="10"/>
    </row>
    <row r="1159" spans="1:6" ht="18.75" x14ac:dyDescent="0.3">
      <c r="A1159" s="3" t="s">
        <v>29</v>
      </c>
      <c r="B1159" s="4" t="s">
        <v>769</v>
      </c>
      <c r="C1159" s="3">
        <v>1164</v>
      </c>
      <c r="D1159" s="58">
        <v>67512</v>
      </c>
      <c r="E1159" s="5"/>
      <c r="F1159" s="10"/>
    </row>
    <row r="1160" spans="1:6" ht="18.75" x14ac:dyDescent="0.3">
      <c r="A1160" s="3" t="s">
        <v>42</v>
      </c>
      <c r="B1160" s="4" t="s">
        <v>770</v>
      </c>
      <c r="C1160" s="5">
        <v>1164</v>
      </c>
      <c r="D1160" s="58">
        <v>103596</v>
      </c>
      <c r="E1160" s="3"/>
      <c r="F1160" s="10"/>
    </row>
    <row r="1161" spans="1:6" ht="18.75" x14ac:dyDescent="0.3">
      <c r="A1161" s="6" t="s">
        <v>119</v>
      </c>
      <c r="B1161" s="4" t="s">
        <v>772</v>
      </c>
      <c r="C1161" s="3">
        <v>679</v>
      </c>
      <c r="D1161" s="58">
        <v>60431</v>
      </c>
      <c r="E1161" s="5"/>
      <c r="F1161" s="10"/>
    </row>
    <row r="1162" spans="1:6" ht="18.75" x14ac:dyDescent="0.3">
      <c r="A1162" s="3" t="s">
        <v>104</v>
      </c>
      <c r="B1162" s="4" t="s">
        <v>772</v>
      </c>
      <c r="C1162" s="3">
        <v>485</v>
      </c>
      <c r="D1162" s="58">
        <v>43165</v>
      </c>
      <c r="E1162" s="5"/>
      <c r="F1162" s="10"/>
    </row>
    <row r="1163" spans="1:6" ht="18.75" x14ac:dyDescent="0.3">
      <c r="A1163" s="3" t="s">
        <v>771</v>
      </c>
      <c r="B1163" s="4" t="s">
        <v>773</v>
      </c>
      <c r="C1163" s="3">
        <v>2328</v>
      </c>
      <c r="D1163" s="58">
        <v>148992</v>
      </c>
      <c r="E1163" s="5"/>
      <c r="F1163" s="10"/>
    </row>
    <row r="1164" spans="1:6" ht="18.75" x14ac:dyDescent="0.3">
      <c r="A1164" s="3" t="s">
        <v>771</v>
      </c>
      <c r="B1164" s="4" t="s">
        <v>774</v>
      </c>
      <c r="C1164" s="3">
        <v>2328</v>
      </c>
      <c r="D1164" s="58">
        <v>153648</v>
      </c>
      <c r="E1164" s="3"/>
      <c r="F1164" s="10"/>
    </row>
    <row r="1165" spans="1:6" ht="18.75" x14ac:dyDescent="0.3">
      <c r="A1165" s="3" t="s">
        <v>201</v>
      </c>
      <c r="B1165" s="4" t="s">
        <v>775</v>
      </c>
      <c r="C1165" s="3">
        <v>1164</v>
      </c>
      <c r="D1165" s="58">
        <v>100104</v>
      </c>
      <c r="E1165" s="3"/>
      <c r="F1165" s="10"/>
    </row>
    <row r="1166" spans="1:6" ht="18.75" x14ac:dyDescent="0.3">
      <c r="A1166" s="3" t="s">
        <v>776</v>
      </c>
      <c r="B1166" s="4" t="s">
        <v>777</v>
      </c>
      <c r="C1166" s="3">
        <v>1164</v>
      </c>
      <c r="D1166" s="58">
        <v>100104</v>
      </c>
      <c r="E1166" s="3"/>
      <c r="F1166" s="10"/>
    </row>
    <row r="1167" spans="1:6" ht="18.75" x14ac:dyDescent="0.3">
      <c r="A1167" s="3" t="s">
        <v>27</v>
      </c>
      <c r="B1167" s="4" t="s">
        <v>101</v>
      </c>
      <c r="C1167" s="3">
        <v>2328</v>
      </c>
      <c r="D1167" s="58">
        <v>100104</v>
      </c>
      <c r="E1167" s="3"/>
      <c r="F1167" s="10"/>
    </row>
    <row r="1168" spans="1:6" ht="18.75" x14ac:dyDescent="0.3">
      <c r="A1168" s="3" t="s">
        <v>778</v>
      </c>
      <c r="B1168" s="4" t="s">
        <v>779</v>
      </c>
      <c r="C1168" s="3">
        <v>2328</v>
      </c>
      <c r="D1168" s="58">
        <v>139680</v>
      </c>
      <c r="E1168" s="3"/>
      <c r="F1168" s="10"/>
    </row>
    <row r="1169" spans="1:7" ht="18.75" x14ac:dyDescent="0.3">
      <c r="A1169" s="3"/>
      <c r="B1169" s="4"/>
      <c r="C1169" s="3"/>
      <c r="D1169" s="5"/>
      <c r="E1169" s="3" t="s">
        <v>249</v>
      </c>
      <c r="F1169" s="10"/>
    </row>
    <row r="1170" spans="1:7" ht="18.75" x14ac:dyDescent="0.3">
      <c r="A1170" s="3"/>
      <c r="B1170" s="4"/>
      <c r="C1170" s="3"/>
      <c r="D1170" s="5"/>
      <c r="E1170" s="3"/>
      <c r="F1170" s="10"/>
    </row>
    <row r="1171" spans="1:7" ht="18.75" x14ac:dyDescent="0.3">
      <c r="A1171" s="3"/>
      <c r="B1171" s="4"/>
      <c r="C1171" s="3"/>
      <c r="D1171" s="5"/>
      <c r="E1171" s="3"/>
      <c r="F1171" s="10"/>
    </row>
    <row r="1172" spans="1:7" ht="18.75" x14ac:dyDescent="0.3">
      <c r="A1172" s="3"/>
      <c r="B1172" s="4"/>
      <c r="C1172" s="5"/>
      <c r="D1172" s="5"/>
      <c r="E1172" s="3"/>
      <c r="F1172" s="10"/>
    </row>
    <row r="1173" spans="1:7" ht="18.75" x14ac:dyDescent="0.3">
      <c r="A1173" s="3"/>
      <c r="B1173" s="4"/>
      <c r="C1173" s="5"/>
      <c r="D1173" s="5"/>
      <c r="E1173" s="3"/>
    </row>
    <row r="1174" spans="1:7" ht="18.75" x14ac:dyDescent="0.3">
      <c r="A1174" s="3"/>
      <c r="B1174" s="4"/>
      <c r="C1174" s="5"/>
      <c r="D1174" s="5"/>
      <c r="E1174" s="3"/>
    </row>
    <row r="1175" spans="1:7" ht="18.75" x14ac:dyDescent="0.3">
      <c r="A1175" s="3"/>
      <c r="B1175" s="4"/>
      <c r="C1175" s="5"/>
      <c r="D1175" s="5"/>
      <c r="E1175" s="3"/>
    </row>
    <row r="1176" spans="1:7" ht="18.75" x14ac:dyDescent="0.3">
      <c r="A1176" s="3"/>
      <c r="B1176" s="4"/>
      <c r="C1176" s="5"/>
      <c r="D1176" s="5"/>
      <c r="E1176" s="3"/>
    </row>
    <row r="1177" spans="1:7" ht="18.75" x14ac:dyDescent="0.3">
      <c r="A1177" s="3"/>
      <c r="B1177" s="4"/>
      <c r="C1177" s="5"/>
      <c r="D1177" s="5"/>
      <c r="E1177" s="3"/>
    </row>
    <row r="1178" spans="1:7" ht="18.75" x14ac:dyDescent="0.3">
      <c r="A1178" s="3"/>
      <c r="B1178" s="4"/>
      <c r="C1178" s="5"/>
      <c r="D1178" s="5"/>
      <c r="E1178" s="37"/>
    </row>
    <row r="1184" spans="1:7" ht="18.75" x14ac:dyDescent="0.3">
      <c r="A1184" s="35" t="s">
        <v>0</v>
      </c>
      <c r="B1184" s="35" t="s">
        <v>1</v>
      </c>
      <c r="C1184" s="35" t="s">
        <v>2</v>
      </c>
      <c r="D1184" s="35" t="s">
        <v>3</v>
      </c>
      <c r="E1184" s="35" t="s">
        <v>4</v>
      </c>
      <c r="F1184" s="35" t="s">
        <v>5</v>
      </c>
      <c r="G1184" s="35" t="s">
        <v>6</v>
      </c>
    </row>
    <row r="1185" spans="1:7" ht="18.75" x14ac:dyDescent="0.3">
      <c r="A1185" s="22">
        <v>2061</v>
      </c>
      <c r="B1185" s="22" t="s">
        <v>780</v>
      </c>
      <c r="C1185" s="23" t="s">
        <v>781</v>
      </c>
      <c r="D1185" s="24">
        <v>1620</v>
      </c>
      <c r="E1185" s="22">
        <v>900</v>
      </c>
      <c r="F1185" s="25"/>
      <c r="G1185" s="26">
        <f>D1185*E1185</f>
        <v>1458000</v>
      </c>
    </row>
    <row r="1186" spans="1:7" ht="18.75" x14ac:dyDescent="0.3">
      <c r="A1186" s="1" t="s">
        <v>7</v>
      </c>
      <c r="B1186" s="7">
        <v>5.4</v>
      </c>
      <c r="C1186" s="48" t="s">
        <v>3</v>
      </c>
      <c r="D1186" s="48" t="s">
        <v>8</v>
      </c>
      <c r="E1186" s="46">
        <v>874800</v>
      </c>
      <c r="F1186" s="10"/>
      <c r="G1186" s="11">
        <v>583200</v>
      </c>
    </row>
    <row r="1187" spans="1:7" ht="18.75" x14ac:dyDescent="0.3">
      <c r="A1187" s="2" t="s">
        <v>49</v>
      </c>
      <c r="B1187" s="12">
        <v>58</v>
      </c>
      <c r="C1187" s="5">
        <v>1620</v>
      </c>
      <c r="D1187" s="50">
        <f t="shared" ref="D1187:D1195" si="28">B1187*C1187</f>
        <v>93960</v>
      </c>
      <c r="E1187" s="21">
        <v>0.6</v>
      </c>
      <c r="F1187" s="10"/>
      <c r="G1187" s="21">
        <v>0.4</v>
      </c>
    </row>
    <row r="1188" spans="1:7" ht="18.75" x14ac:dyDescent="0.3">
      <c r="A1188" s="2" t="s">
        <v>50</v>
      </c>
      <c r="B1188" s="12">
        <v>86</v>
      </c>
      <c r="C1188" s="3">
        <v>1620</v>
      </c>
      <c r="D1188" s="50">
        <f t="shared" si="28"/>
        <v>139320</v>
      </c>
      <c r="E1188" s="10"/>
      <c r="F1188" s="10"/>
      <c r="G1188" s="10"/>
    </row>
    <row r="1189" spans="1:7" ht="18.75" x14ac:dyDescent="0.3">
      <c r="A1189" s="2" t="s">
        <v>284</v>
      </c>
      <c r="B1189" s="12">
        <v>60</v>
      </c>
      <c r="C1189" s="3">
        <v>1620</v>
      </c>
      <c r="D1189" s="50">
        <f t="shared" si="28"/>
        <v>97200</v>
      </c>
      <c r="E1189" s="10"/>
      <c r="F1189" s="10"/>
      <c r="G1189" s="10"/>
    </row>
    <row r="1190" spans="1:7" ht="18.75" x14ac:dyDescent="0.3">
      <c r="A1190" s="2" t="s">
        <v>46</v>
      </c>
      <c r="B1190" s="12">
        <v>89</v>
      </c>
      <c r="C1190" s="5">
        <v>810</v>
      </c>
      <c r="D1190" s="50">
        <f t="shared" si="28"/>
        <v>72090</v>
      </c>
      <c r="E1190" s="10"/>
      <c r="F1190" s="10"/>
      <c r="G1190" s="10"/>
    </row>
    <row r="1191" spans="1:7" ht="18.75" x14ac:dyDescent="0.3">
      <c r="A1191" s="2" t="s">
        <v>774</v>
      </c>
      <c r="B1191" s="12">
        <v>66</v>
      </c>
      <c r="C1191" s="3">
        <v>1620</v>
      </c>
      <c r="D1191" s="50">
        <f t="shared" si="28"/>
        <v>106920</v>
      </c>
      <c r="E1191" s="10"/>
      <c r="F1191" s="10"/>
      <c r="G1191" s="14">
        <f>E1186-D1201-D1202-D1203-D1204-D1205-D1206-D1207-D1208-D1209-D1210-D1211-D1212-D1213-D1214-D1215-D1216-D1217</f>
        <v>0</v>
      </c>
    </row>
    <row r="1192" spans="1:7" ht="18.75" x14ac:dyDescent="0.3">
      <c r="A1192" s="2" t="s">
        <v>767</v>
      </c>
      <c r="B1192" s="12">
        <v>64</v>
      </c>
      <c r="C1192" s="3">
        <v>1620</v>
      </c>
      <c r="D1192" s="50">
        <f t="shared" si="28"/>
        <v>103680</v>
      </c>
      <c r="E1192" s="10"/>
      <c r="F1192" s="10"/>
      <c r="G1192" s="10"/>
    </row>
    <row r="1193" spans="1:7" ht="18.75" x14ac:dyDescent="0.3">
      <c r="A1193" s="2" t="s">
        <v>53</v>
      </c>
      <c r="B1193" s="12">
        <v>43</v>
      </c>
      <c r="C1193" s="3">
        <v>1620</v>
      </c>
      <c r="D1193" s="50">
        <f t="shared" si="28"/>
        <v>69660</v>
      </c>
      <c r="E1193" s="10"/>
      <c r="F1193" s="10"/>
    </row>
    <row r="1194" spans="1:7" ht="18.75" x14ac:dyDescent="0.3">
      <c r="A1194" s="2" t="s">
        <v>26</v>
      </c>
      <c r="B1194" s="15">
        <v>74</v>
      </c>
      <c r="C1194" s="3">
        <v>1620</v>
      </c>
      <c r="D1194" s="50">
        <f t="shared" si="28"/>
        <v>119880</v>
      </c>
      <c r="E1194" s="10"/>
      <c r="F1194" s="10"/>
    </row>
    <row r="1195" spans="1:7" ht="18.75" x14ac:dyDescent="0.3">
      <c r="A1195" s="2"/>
      <c r="B1195" s="15"/>
      <c r="C1195" s="3"/>
      <c r="D1195" s="50">
        <f t="shared" si="28"/>
        <v>0</v>
      </c>
      <c r="E1195" s="10"/>
      <c r="F1195" s="16"/>
    </row>
    <row r="1196" spans="1:7" ht="18.75" x14ac:dyDescent="0.3">
      <c r="A1196" s="2"/>
      <c r="B1196" s="15"/>
      <c r="C1196" s="3"/>
      <c r="D1196" s="50"/>
      <c r="E1196" s="10"/>
      <c r="F1196" s="17"/>
    </row>
    <row r="1197" spans="1:7" ht="18.75" x14ac:dyDescent="0.3">
      <c r="A1197" s="2"/>
      <c r="B1197" s="12"/>
      <c r="C1197" s="3"/>
      <c r="D1197" s="50"/>
      <c r="E1197" s="10"/>
      <c r="F1197" s="10"/>
    </row>
    <row r="1198" spans="1:7" ht="18.75" x14ac:dyDescent="0.3">
      <c r="A1198" s="2"/>
      <c r="B1198" s="12"/>
      <c r="C1198" s="3"/>
      <c r="D1198" s="50"/>
      <c r="E1198" s="10"/>
      <c r="F1198" s="10"/>
    </row>
    <row r="1199" spans="1:7" ht="18.75" x14ac:dyDescent="0.3">
      <c r="A1199" s="18"/>
      <c r="B1199" s="19"/>
      <c r="C1199" s="20"/>
      <c r="D1199" s="13"/>
      <c r="E1199" s="10"/>
      <c r="F1199" s="10"/>
    </row>
    <row r="1200" spans="1:7" ht="18.75" x14ac:dyDescent="0.3">
      <c r="A1200" s="1" t="s">
        <v>10</v>
      </c>
      <c r="B1200" s="1" t="s">
        <v>11</v>
      </c>
      <c r="C1200" s="1" t="s">
        <v>12</v>
      </c>
      <c r="D1200" s="1" t="s">
        <v>13</v>
      </c>
      <c r="E1200" s="1" t="s">
        <v>14</v>
      </c>
      <c r="F1200" s="10"/>
    </row>
    <row r="1201" spans="1:6" ht="18.75" x14ac:dyDescent="0.3">
      <c r="A1201" s="3" t="s">
        <v>782</v>
      </c>
      <c r="B1201" s="4" t="s">
        <v>49</v>
      </c>
      <c r="C1201" s="3">
        <v>1620</v>
      </c>
      <c r="D1201" s="58">
        <v>93960</v>
      </c>
      <c r="E1201" s="3"/>
      <c r="F1201" s="10"/>
    </row>
    <row r="1202" spans="1:6" ht="18.75" x14ac:dyDescent="0.3">
      <c r="A1202" s="3" t="s">
        <v>15</v>
      </c>
      <c r="B1202" s="4" t="s">
        <v>50</v>
      </c>
      <c r="C1202" s="3">
        <v>1620</v>
      </c>
      <c r="D1202" s="58">
        <v>139320</v>
      </c>
      <c r="E1202" s="5"/>
      <c r="F1202" s="10"/>
    </row>
    <row r="1203" spans="1:6" ht="18.75" x14ac:dyDescent="0.3">
      <c r="A1203" s="3" t="s">
        <v>119</v>
      </c>
      <c r="B1203" s="4" t="s">
        <v>784</v>
      </c>
      <c r="C1203" s="3">
        <v>810</v>
      </c>
      <c r="D1203" s="58">
        <v>72090</v>
      </c>
      <c r="E1203" s="5"/>
      <c r="F1203" s="10"/>
    </row>
    <row r="1204" spans="1:6" ht="18.75" x14ac:dyDescent="0.3">
      <c r="A1204" s="3" t="s">
        <v>783</v>
      </c>
      <c r="B1204" s="4" t="s">
        <v>785</v>
      </c>
      <c r="C1204" s="5">
        <v>810</v>
      </c>
      <c r="D1204" s="58">
        <v>72090</v>
      </c>
      <c r="E1204" s="3"/>
      <c r="F1204" s="10"/>
    </row>
    <row r="1205" spans="1:6" ht="18.75" x14ac:dyDescent="0.3">
      <c r="A1205" s="6" t="s">
        <v>27</v>
      </c>
      <c r="B1205" s="4" t="s">
        <v>53</v>
      </c>
      <c r="C1205" s="3">
        <v>1620</v>
      </c>
      <c r="D1205" s="58">
        <v>69660</v>
      </c>
      <c r="E1205" s="5"/>
      <c r="F1205" s="10"/>
    </row>
    <row r="1206" spans="1:6" ht="18.75" x14ac:dyDescent="0.3">
      <c r="A1206" s="3" t="s">
        <v>332</v>
      </c>
      <c r="B1206" s="4" t="s">
        <v>779</v>
      </c>
      <c r="C1206" s="3">
        <v>1620</v>
      </c>
      <c r="D1206" s="58">
        <v>97200</v>
      </c>
      <c r="E1206" s="5"/>
      <c r="F1206" s="10"/>
    </row>
    <row r="1207" spans="1:6" ht="18.75" x14ac:dyDescent="0.3">
      <c r="A1207" s="3" t="s">
        <v>771</v>
      </c>
      <c r="B1207" s="4" t="s">
        <v>767</v>
      </c>
      <c r="C1207" s="3">
        <v>1620</v>
      </c>
      <c r="D1207" s="58">
        <v>103680</v>
      </c>
      <c r="E1207" s="5"/>
      <c r="F1207" s="10"/>
    </row>
    <row r="1208" spans="1:6" ht="18.75" x14ac:dyDescent="0.3">
      <c r="A1208" s="3" t="s">
        <v>771</v>
      </c>
      <c r="B1208" s="4" t="s">
        <v>75</v>
      </c>
      <c r="C1208" s="3">
        <v>1620</v>
      </c>
      <c r="D1208" s="58">
        <v>106920</v>
      </c>
      <c r="E1208" s="3"/>
      <c r="F1208" s="10"/>
    </row>
    <row r="1209" spans="1:6" ht="18.75" x14ac:dyDescent="0.3">
      <c r="A1209" s="3" t="s">
        <v>31</v>
      </c>
      <c r="B1209" s="4" t="s">
        <v>26</v>
      </c>
      <c r="C1209" s="3">
        <v>1620</v>
      </c>
      <c r="D1209" s="58">
        <v>119880</v>
      </c>
      <c r="E1209" s="3"/>
      <c r="F1209" s="10"/>
    </row>
    <row r="1210" spans="1:6" ht="18.75" x14ac:dyDescent="0.3">
      <c r="A1210" s="3"/>
      <c r="B1210" s="4"/>
      <c r="C1210" s="3"/>
      <c r="D1210" s="58"/>
      <c r="E1210" s="3"/>
      <c r="F1210" s="10"/>
    </row>
    <row r="1211" spans="1:6" ht="18.75" x14ac:dyDescent="0.3">
      <c r="A1211" s="3"/>
      <c r="B1211" s="4"/>
      <c r="C1211" s="3"/>
      <c r="D1211" s="58"/>
      <c r="E1211" s="3"/>
      <c r="F1211" s="10"/>
    </row>
    <row r="1212" spans="1:6" ht="18.75" x14ac:dyDescent="0.3">
      <c r="A1212" s="3"/>
      <c r="B1212" s="4"/>
      <c r="C1212" s="3"/>
      <c r="D1212" s="58"/>
      <c r="E1212" s="3"/>
      <c r="F1212" s="10"/>
    </row>
    <row r="1213" spans="1:6" ht="18.75" x14ac:dyDescent="0.3">
      <c r="A1213" s="3"/>
      <c r="B1213" s="4"/>
      <c r="C1213" s="3"/>
      <c r="D1213" s="5"/>
      <c r="E1213" s="3" t="s">
        <v>249</v>
      </c>
      <c r="F1213" s="10"/>
    </row>
    <row r="1214" spans="1:6" ht="18.75" x14ac:dyDescent="0.3">
      <c r="A1214" s="3"/>
      <c r="B1214" s="4"/>
      <c r="C1214" s="3"/>
      <c r="D1214" s="5"/>
      <c r="E1214" s="3"/>
      <c r="F1214" s="10"/>
    </row>
    <row r="1215" spans="1:6" ht="18.75" x14ac:dyDescent="0.3">
      <c r="A1215" s="3"/>
      <c r="B1215" s="4"/>
      <c r="C1215" s="3"/>
      <c r="D1215" s="5"/>
      <c r="E1215" s="3"/>
      <c r="F1215" s="10"/>
    </row>
    <row r="1216" spans="1:6" ht="18.75" x14ac:dyDescent="0.3">
      <c r="A1216" s="3"/>
      <c r="B1216" s="4"/>
      <c r="C1216" s="5"/>
      <c r="D1216" s="5"/>
      <c r="E1216" s="3"/>
      <c r="F1216" s="10"/>
    </row>
    <row r="1217" spans="1:7" ht="18.75" x14ac:dyDescent="0.3">
      <c r="A1217" s="3"/>
      <c r="B1217" s="4"/>
      <c r="C1217" s="5"/>
      <c r="D1217" s="5"/>
      <c r="E1217" s="3"/>
    </row>
    <row r="1218" spans="1:7" ht="18.75" x14ac:dyDescent="0.3">
      <c r="A1218" s="3"/>
      <c r="B1218" s="4"/>
      <c r="C1218" s="5"/>
      <c r="D1218" s="5"/>
      <c r="E1218" s="3"/>
    </row>
    <row r="1219" spans="1:7" ht="18.75" x14ac:dyDescent="0.3">
      <c r="A1219" s="3"/>
      <c r="B1219" s="4"/>
      <c r="C1219" s="5"/>
      <c r="D1219" s="5"/>
      <c r="E1219" s="3"/>
    </row>
    <row r="1220" spans="1:7" ht="18.75" x14ac:dyDescent="0.3">
      <c r="A1220" s="3"/>
      <c r="B1220" s="4"/>
      <c r="C1220" s="5"/>
      <c r="D1220" s="5"/>
      <c r="E1220" s="3"/>
    </row>
    <row r="1221" spans="1:7" ht="18.75" x14ac:dyDescent="0.3">
      <c r="A1221" s="3"/>
      <c r="B1221" s="4"/>
      <c r="C1221" s="5"/>
      <c r="D1221" s="5"/>
      <c r="E1221" s="3"/>
    </row>
    <row r="1222" spans="1:7" ht="18.75" x14ac:dyDescent="0.3">
      <c r="A1222" s="3"/>
      <c r="B1222" s="4"/>
      <c r="C1222" s="5"/>
      <c r="D1222" s="5"/>
      <c r="E1222" s="37"/>
    </row>
    <row r="1228" spans="1:7" ht="18.75" x14ac:dyDescent="0.3">
      <c r="A1228" s="35" t="s">
        <v>0</v>
      </c>
      <c r="B1228" s="35" t="s">
        <v>1</v>
      </c>
      <c r="C1228" s="35" t="s">
        <v>2</v>
      </c>
      <c r="D1228" s="35" t="s">
        <v>3</v>
      </c>
      <c r="E1228" s="35" t="s">
        <v>4</v>
      </c>
      <c r="F1228" s="35" t="s">
        <v>5</v>
      </c>
      <c r="G1228" s="35" t="s">
        <v>6</v>
      </c>
    </row>
    <row r="1229" spans="1:7" ht="18.75" x14ac:dyDescent="0.3">
      <c r="A1229" s="22">
        <v>2074</v>
      </c>
      <c r="B1229" s="22" t="s">
        <v>780</v>
      </c>
      <c r="C1229" s="23" t="s">
        <v>859</v>
      </c>
      <c r="D1229" s="24">
        <v>1800</v>
      </c>
      <c r="E1229" s="22">
        <v>900</v>
      </c>
      <c r="F1229" s="25" t="s">
        <v>862</v>
      </c>
      <c r="G1229" s="26">
        <f>D1229*E1229</f>
        <v>1620000</v>
      </c>
    </row>
    <row r="1230" spans="1:7" ht="18.75" x14ac:dyDescent="0.3">
      <c r="A1230" s="1" t="s">
        <v>7</v>
      </c>
      <c r="B1230" s="7">
        <v>5.4</v>
      </c>
      <c r="C1230" s="48" t="s">
        <v>3</v>
      </c>
      <c r="D1230" s="48" t="s">
        <v>8</v>
      </c>
      <c r="E1230" s="46">
        <v>972000</v>
      </c>
      <c r="F1230" s="10"/>
      <c r="G1230" s="11">
        <v>648000</v>
      </c>
    </row>
    <row r="1231" spans="1:7" ht="18.75" x14ac:dyDescent="0.3">
      <c r="A1231" s="2" t="s">
        <v>792</v>
      </c>
      <c r="B1231" s="12">
        <v>80</v>
      </c>
      <c r="C1231" s="5">
        <v>1800</v>
      </c>
      <c r="D1231" s="50">
        <f t="shared" ref="D1231:D1239" si="29">B1231*C1231</f>
        <v>144000</v>
      </c>
      <c r="E1231" s="21">
        <v>0.6</v>
      </c>
      <c r="F1231" s="10"/>
      <c r="G1231" s="21">
        <v>0.4</v>
      </c>
    </row>
    <row r="1232" spans="1:7" ht="18.75" x14ac:dyDescent="0.3">
      <c r="A1232" s="2" t="s">
        <v>793</v>
      </c>
      <c r="B1232" s="12">
        <v>64</v>
      </c>
      <c r="C1232" s="3">
        <v>1800</v>
      </c>
      <c r="D1232" s="50">
        <f t="shared" si="29"/>
        <v>115200</v>
      </c>
      <c r="E1232" s="10"/>
      <c r="F1232" s="10"/>
      <c r="G1232" s="10"/>
    </row>
    <row r="1233" spans="1:7" ht="18.75" x14ac:dyDescent="0.3">
      <c r="A1233" s="2" t="s">
        <v>24</v>
      </c>
      <c r="B1233" s="12">
        <v>68</v>
      </c>
      <c r="C1233" s="3">
        <v>1800</v>
      </c>
      <c r="D1233" s="50">
        <f t="shared" si="29"/>
        <v>122400</v>
      </c>
      <c r="E1233" s="10"/>
      <c r="F1233" s="10"/>
      <c r="G1233" s="10"/>
    </row>
    <row r="1234" spans="1:7" ht="18.75" x14ac:dyDescent="0.3">
      <c r="A1234" s="2" t="s">
        <v>817</v>
      </c>
      <c r="B1234" s="12">
        <v>55</v>
      </c>
      <c r="C1234" s="5">
        <v>1800</v>
      </c>
      <c r="D1234" s="50">
        <f t="shared" si="29"/>
        <v>99000</v>
      </c>
      <c r="E1234" s="10"/>
      <c r="F1234" s="10"/>
      <c r="G1234" s="10"/>
    </row>
    <row r="1235" spans="1:7" ht="18.75" x14ac:dyDescent="0.3">
      <c r="A1235" s="2" t="s">
        <v>818</v>
      </c>
      <c r="B1235" s="12">
        <v>60</v>
      </c>
      <c r="C1235" s="3">
        <v>1800</v>
      </c>
      <c r="D1235" s="50">
        <f t="shared" si="29"/>
        <v>108000</v>
      </c>
      <c r="E1235" s="10" t="s">
        <v>249</v>
      </c>
      <c r="F1235" s="10"/>
      <c r="G1235" s="14">
        <f>E1230-D1245-D1246-D1247-D1248-D1249-D1250-D1251-D1252-D1253-D1254-D1255-D1256-D1257-D1258-D1259-D1260-D1261-D1262-D1263-D1264-D1265-D1266-D1267-D1267</f>
        <v>117800</v>
      </c>
    </row>
    <row r="1236" spans="1:7" ht="18.75" x14ac:dyDescent="0.3">
      <c r="A1236" s="2" t="s">
        <v>821</v>
      </c>
      <c r="B1236" s="12">
        <v>43</v>
      </c>
      <c r="C1236" s="3">
        <v>1800</v>
      </c>
      <c r="D1236" s="50">
        <f t="shared" si="29"/>
        <v>77400</v>
      </c>
      <c r="E1236" s="10"/>
      <c r="F1236" s="10"/>
      <c r="G1236" s="10"/>
    </row>
    <row r="1237" spans="1:7" ht="18.75" x14ac:dyDescent="0.3">
      <c r="A1237" s="2" t="s">
        <v>819</v>
      </c>
      <c r="B1237" s="12">
        <v>65</v>
      </c>
      <c r="C1237" s="3">
        <v>1800</v>
      </c>
      <c r="D1237" s="50">
        <f t="shared" si="29"/>
        <v>117000</v>
      </c>
      <c r="E1237" s="10"/>
      <c r="F1237" s="10"/>
    </row>
    <row r="1238" spans="1:7" ht="18.75" x14ac:dyDescent="0.3">
      <c r="A1238" s="2" t="s">
        <v>26</v>
      </c>
      <c r="B1238" s="15">
        <v>105</v>
      </c>
      <c r="C1238" s="3">
        <v>1800</v>
      </c>
      <c r="D1238" s="50">
        <f t="shared" si="29"/>
        <v>189000</v>
      </c>
      <c r="E1238" s="10"/>
      <c r="F1238" s="10"/>
    </row>
    <row r="1239" spans="1:7" ht="18.75" x14ac:dyDescent="0.3">
      <c r="A1239" s="2"/>
      <c r="B1239" s="15"/>
      <c r="C1239" s="3"/>
      <c r="D1239" s="50">
        <f t="shared" si="29"/>
        <v>0</v>
      </c>
      <c r="E1239" s="10"/>
      <c r="F1239" s="16"/>
    </row>
    <row r="1240" spans="1:7" ht="18.75" x14ac:dyDescent="0.3">
      <c r="A1240" s="2"/>
      <c r="B1240" s="15"/>
      <c r="C1240" s="3"/>
      <c r="D1240" s="50"/>
      <c r="E1240" s="10"/>
      <c r="F1240" s="17"/>
    </row>
    <row r="1241" spans="1:7" ht="18.75" x14ac:dyDescent="0.3">
      <c r="A1241" s="2"/>
      <c r="B1241" s="12"/>
      <c r="C1241" s="3"/>
      <c r="D1241" s="50"/>
      <c r="E1241" s="10"/>
      <c r="F1241" s="10"/>
    </row>
    <row r="1242" spans="1:7" ht="18.75" x14ac:dyDescent="0.3">
      <c r="A1242" s="2"/>
      <c r="B1242" s="12"/>
      <c r="C1242" s="3"/>
      <c r="D1242" s="50"/>
      <c r="E1242" s="10"/>
      <c r="F1242" s="10"/>
    </row>
    <row r="1243" spans="1:7" ht="18.75" x14ac:dyDescent="0.3">
      <c r="A1243" s="18"/>
      <c r="B1243" s="19"/>
      <c r="C1243" s="20"/>
      <c r="D1243" s="13"/>
      <c r="E1243" s="10"/>
      <c r="F1243" s="10"/>
    </row>
    <row r="1244" spans="1:7" ht="18.75" x14ac:dyDescent="0.3">
      <c r="A1244" s="1" t="s">
        <v>10</v>
      </c>
      <c r="B1244" s="1" t="s">
        <v>11</v>
      </c>
      <c r="C1244" s="1" t="s">
        <v>12</v>
      </c>
      <c r="D1244" s="1" t="s">
        <v>13</v>
      </c>
      <c r="E1244" s="1" t="s">
        <v>14</v>
      </c>
      <c r="F1244" s="10"/>
    </row>
    <row r="1245" spans="1:7" ht="18.75" x14ac:dyDescent="0.3">
      <c r="A1245" s="3" t="s">
        <v>201</v>
      </c>
      <c r="B1245" s="101" t="s">
        <v>834</v>
      </c>
      <c r="C1245" s="3">
        <v>300</v>
      </c>
      <c r="D1245" s="58">
        <v>24000</v>
      </c>
      <c r="E1245" s="3"/>
      <c r="F1245" s="10"/>
    </row>
    <row r="1246" spans="1:7" ht="18.75" x14ac:dyDescent="0.3">
      <c r="A1246" s="3" t="s">
        <v>783</v>
      </c>
      <c r="B1246" s="4" t="s">
        <v>833</v>
      </c>
      <c r="C1246" s="3">
        <v>600</v>
      </c>
      <c r="D1246" s="58">
        <v>48000</v>
      </c>
      <c r="E1246" s="5"/>
      <c r="F1246" s="10"/>
    </row>
    <row r="1247" spans="1:7" ht="18.75" x14ac:dyDescent="0.3">
      <c r="A1247" s="3" t="s">
        <v>16</v>
      </c>
      <c r="B1247" s="4" t="s">
        <v>835</v>
      </c>
      <c r="C1247" s="3">
        <v>300</v>
      </c>
      <c r="D1247" s="58">
        <v>24000</v>
      </c>
      <c r="E1247" s="5"/>
      <c r="F1247" s="10"/>
    </row>
    <row r="1248" spans="1:7" ht="18.75" x14ac:dyDescent="0.3">
      <c r="A1248" s="3" t="s">
        <v>771</v>
      </c>
      <c r="B1248" s="4" t="s">
        <v>832</v>
      </c>
      <c r="C1248" s="5">
        <v>1800</v>
      </c>
      <c r="D1248" s="58">
        <v>122400</v>
      </c>
      <c r="E1248" s="3"/>
      <c r="F1248" s="10"/>
    </row>
    <row r="1249" spans="1:6" ht="18.75" x14ac:dyDescent="0.3">
      <c r="A1249" s="6" t="s">
        <v>783</v>
      </c>
      <c r="B1249" s="4" t="s">
        <v>831</v>
      </c>
      <c r="C1249" s="3">
        <v>1800</v>
      </c>
      <c r="D1249" s="58">
        <v>108000</v>
      </c>
      <c r="E1249" s="5"/>
      <c r="F1249" s="10"/>
    </row>
    <row r="1250" spans="1:6" ht="18.75" x14ac:dyDescent="0.3">
      <c r="A1250" s="3" t="s">
        <v>778</v>
      </c>
      <c r="B1250" s="4" t="s">
        <v>843</v>
      </c>
      <c r="C1250" s="3">
        <v>1800</v>
      </c>
      <c r="D1250" s="58">
        <v>117000</v>
      </c>
      <c r="E1250" s="5"/>
      <c r="F1250" s="10"/>
    </row>
    <row r="1251" spans="1:6" ht="18.75" x14ac:dyDescent="0.3">
      <c r="A1251" s="3" t="s">
        <v>508</v>
      </c>
      <c r="B1251" s="4" t="s">
        <v>860</v>
      </c>
      <c r="C1251" s="3">
        <v>600</v>
      </c>
      <c r="D1251" s="58">
        <v>48000</v>
      </c>
      <c r="E1251" s="5"/>
      <c r="F1251" s="10"/>
    </row>
    <row r="1252" spans="1:6" ht="18.75" x14ac:dyDescent="0.3">
      <c r="A1252" s="3" t="s">
        <v>201</v>
      </c>
      <c r="B1252" s="4" t="s">
        <v>790</v>
      </c>
      <c r="C1252" s="3">
        <v>1800</v>
      </c>
      <c r="D1252" s="58">
        <v>77400</v>
      </c>
      <c r="E1252" s="3"/>
      <c r="F1252" s="10"/>
    </row>
    <row r="1253" spans="1:6" ht="18.75" x14ac:dyDescent="0.3">
      <c r="A1253" s="3" t="s">
        <v>508</v>
      </c>
      <c r="B1253" s="4" t="s">
        <v>861</v>
      </c>
      <c r="C1253" s="3">
        <v>900</v>
      </c>
      <c r="D1253" s="58">
        <v>38700</v>
      </c>
      <c r="E1253" s="3"/>
      <c r="F1253" s="10"/>
    </row>
    <row r="1254" spans="1:6" ht="18.75" x14ac:dyDescent="0.3">
      <c r="A1254" s="3" t="s">
        <v>201</v>
      </c>
      <c r="B1254" s="4" t="s">
        <v>863</v>
      </c>
      <c r="C1254" s="3">
        <v>900</v>
      </c>
      <c r="D1254" s="58">
        <v>38700</v>
      </c>
      <c r="E1254" s="3"/>
      <c r="F1254" s="10"/>
    </row>
    <row r="1255" spans="1:6" ht="18.75" x14ac:dyDescent="0.3">
      <c r="A1255" s="3" t="s">
        <v>842</v>
      </c>
      <c r="B1255" s="4" t="s">
        <v>26</v>
      </c>
      <c r="C1255" s="3">
        <v>1800</v>
      </c>
      <c r="D1255" s="58">
        <v>109000</v>
      </c>
      <c r="E1255" s="3"/>
      <c r="F1255" s="10"/>
    </row>
    <row r="1256" spans="1:6" ht="18.75" x14ac:dyDescent="0.3">
      <c r="A1256" s="3" t="s">
        <v>119</v>
      </c>
      <c r="B1256" s="4" t="s">
        <v>817</v>
      </c>
      <c r="C1256" s="3">
        <v>1800</v>
      </c>
      <c r="D1256" s="58">
        <v>99000</v>
      </c>
      <c r="E1256" s="3"/>
      <c r="F1256" s="10"/>
    </row>
    <row r="1257" spans="1:6" ht="18.75" x14ac:dyDescent="0.3">
      <c r="A1257" s="3"/>
      <c r="B1257" s="4"/>
      <c r="C1257" s="3"/>
      <c r="D1257" s="5"/>
      <c r="E1257" s="3" t="s">
        <v>249</v>
      </c>
      <c r="F1257" s="10"/>
    </row>
    <row r="1258" spans="1:6" ht="18.75" x14ac:dyDescent="0.3">
      <c r="A1258" s="3"/>
      <c r="B1258" s="4"/>
      <c r="C1258" s="3"/>
      <c r="D1258" s="5"/>
      <c r="E1258" s="3"/>
      <c r="F1258" s="10"/>
    </row>
    <row r="1259" spans="1:6" ht="18.75" x14ac:dyDescent="0.3">
      <c r="A1259" s="3"/>
      <c r="B1259" s="4"/>
      <c r="C1259" s="3"/>
      <c r="D1259" s="5"/>
      <c r="E1259" s="3"/>
      <c r="F1259" s="10"/>
    </row>
    <row r="1260" spans="1:6" ht="18.75" x14ac:dyDescent="0.3">
      <c r="A1260" s="3"/>
      <c r="B1260" s="4"/>
      <c r="C1260" s="5"/>
      <c r="D1260" s="5"/>
      <c r="E1260" s="3"/>
      <c r="F1260" s="10"/>
    </row>
    <row r="1261" spans="1:6" ht="18.75" x14ac:dyDescent="0.3">
      <c r="A1261" s="3"/>
      <c r="B1261" s="4"/>
      <c r="C1261" s="5"/>
      <c r="D1261" s="5"/>
      <c r="E1261" s="3"/>
    </row>
    <row r="1262" spans="1:6" ht="18.75" x14ac:dyDescent="0.3">
      <c r="A1262" s="3"/>
      <c r="B1262" s="4"/>
      <c r="C1262" s="5"/>
      <c r="D1262" s="5"/>
      <c r="E1262" s="3"/>
    </row>
    <row r="1263" spans="1:6" ht="18.75" x14ac:dyDescent="0.3">
      <c r="A1263" s="3"/>
      <c r="B1263" s="4"/>
      <c r="C1263" s="5"/>
      <c r="D1263" s="5"/>
      <c r="E1263" s="3"/>
    </row>
    <row r="1264" spans="1:6" ht="18.75" x14ac:dyDescent="0.3">
      <c r="A1264" s="3"/>
      <c r="B1264" s="4"/>
      <c r="C1264" s="5"/>
      <c r="D1264" s="5"/>
      <c r="E1264" s="3"/>
    </row>
    <row r="1265" spans="1:7" ht="18.75" x14ac:dyDescent="0.3">
      <c r="A1265" s="3"/>
      <c r="B1265" s="4"/>
      <c r="C1265" s="5"/>
      <c r="D1265" s="5"/>
      <c r="E1265" s="3"/>
    </row>
    <row r="1266" spans="1:7" ht="18.75" x14ac:dyDescent="0.3">
      <c r="A1266" s="3"/>
      <c r="B1266" s="4"/>
      <c r="C1266" s="5"/>
      <c r="D1266" s="5"/>
      <c r="E1266" s="37"/>
    </row>
    <row r="1270" spans="1:7" x14ac:dyDescent="0.25">
      <c r="A1270" s="134" t="s">
        <v>864</v>
      </c>
      <c r="B1270" s="134"/>
      <c r="C1270" s="134"/>
    </row>
    <row r="1271" spans="1:7" x14ac:dyDescent="0.25">
      <c r="A1271" s="134"/>
      <c r="B1271" s="134"/>
      <c r="C1271" s="134"/>
    </row>
    <row r="1272" spans="1:7" ht="18.75" x14ac:dyDescent="0.3">
      <c r="A1272" s="35" t="s">
        <v>0</v>
      </c>
      <c r="B1272" s="35" t="s">
        <v>1</v>
      </c>
      <c r="C1272" s="35" t="s">
        <v>2</v>
      </c>
      <c r="D1272" s="35" t="s">
        <v>3</v>
      </c>
      <c r="E1272" s="35" t="s">
        <v>4</v>
      </c>
      <c r="F1272" s="35" t="s">
        <v>5</v>
      </c>
      <c r="G1272" s="35" t="s">
        <v>6</v>
      </c>
    </row>
    <row r="1273" spans="1:7" ht="18.75" x14ac:dyDescent="0.3">
      <c r="A1273" s="22">
        <v>2078</v>
      </c>
      <c r="B1273" s="22" t="s">
        <v>780</v>
      </c>
      <c r="C1273" s="23" t="s">
        <v>857</v>
      </c>
      <c r="D1273" s="24">
        <v>1265</v>
      </c>
      <c r="E1273" s="22">
        <v>900</v>
      </c>
      <c r="F1273" s="25" t="s">
        <v>711</v>
      </c>
      <c r="G1273" s="26">
        <f>D1273*E1273</f>
        <v>1138500</v>
      </c>
    </row>
    <row r="1274" spans="1:7" ht="18.75" x14ac:dyDescent="0.3">
      <c r="A1274" s="1" t="s">
        <v>7</v>
      </c>
      <c r="B1274" s="7">
        <v>5.4</v>
      </c>
      <c r="C1274" s="48" t="s">
        <v>3</v>
      </c>
      <c r="D1274" s="48" t="s">
        <v>8</v>
      </c>
      <c r="E1274" s="46">
        <v>683100</v>
      </c>
      <c r="F1274" s="10"/>
      <c r="G1274" s="11"/>
    </row>
    <row r="1275" spans="1:7" ht="18.75" x14ac:dyDescent="0.3">
      <c r="A1275" s="2" t="s">
        <v>792</v>
      </c>
      <c r="B1275" s="12">
        <v>80</v>
      </c>
      <c r="C1275" s="5">
        <v>1265</v>
      </c>
      <c r="D1275" s="50">
        <f t="shared" ref="D1275:D1283" si="30">B1275*C1275</f>
        <v>101200</v>
      </c>
      <c r="E1275" s="21">
        <v>0.6</v>
      </c>
      <c r="F1275" s="10"/>
      <c r="G1275" s="21">
        <v>0.4</v>
      </c>
    </row>
    <row r="1276" spans="1:7" ht="18.75" x14ac:dyDescent="0.3">
      <c r="A1276" s="2" t="s">
        <v>793</v>
      </c>
      <c r="B1276" s="12">
        <v>64</v>
      </c>
      <c r="C1276" s="3">
        <v>1265</v>
      </c>
      <c r="D1276" s="50">
        <f t="shared" si="30"/>
        <v>80960</v>
      </c>
      <c r="E1276" s="10"/>
      <c r="F1276" s="10"/>
      <c r="G1276" s="10"/>
    </row>
    <row r="1277" spans="1:7" ht="18.75" x14ac:dyDescent="0.3">
      <c r="A1277" s="2" t="s">
        <v>24</v>
      </c>
      <c r="B1277" s="12">
        <v>68</v>
      </c>
      <c r="C1277" s="3">
        <v>1265</v>
      </c>
      <c r="D1277" s="50">
        <f t="shared" si="30"/>
        <v>86020</v>
      </c>
      <c r="E1277" s="10"/>
      <c r="F1277" s="10"/>
      <c r="G1277" s="10"/>
    </row>
    <row r="1278" spans="1:7" ht="18.75" x14ac:dyDescent="0.3">
      <c r="A1278" s="2" t="s">
        <v>817</v>
      </c>
      <c r="B1278" s="12">
        <v>55</v>
      </c>
      <c r="C1278" s="5">
        <v>1265</v>
      </c>
      <c r="D1278" s="50">
        <f t="shared" si="30"/>
        <v>69575</v>
      </c>
      <c r="E1278" s="10"/>
      <c r="F1278" s="10"/>
      <c r="G1278" s="10"/>
    </row>
    <row r="1279" spans="1:7" ht="18.75" x14ac:dyDescent="0.3">
      <c r="A1279" s="2" t="s">
        <v>818</v>
      </c>
      <c r="B1279" s="12">
        <v>60</v>
      </c>
      <c r="C1279" s="3">
        <v>1265</v>
      </c>
      <c r="D1279" s="50">
        <f t="shared" si="30"/>
        <v>75900</v>
      </c>
      <c r="E1279" s="10"/>
      <c r="F1279" s="10"/>
      <c r="G1279" s="14">
        <f>E1274-D1289-D1290-D1291-D1292-D1293-D1294-D1295-D1296-D1297-D1298-D1299-D1300-D1301-D1302-D1303-D1304-D1305-D1306-D1307-D1308-D1309-D1310-D1311-D1311</f>
        <v>0</v>
      </c>
    </row>
    <row r="1280" spans="1:7" ht="18.75" x14ac:dyDescent="0.3">
      <c r="A1280" s="2" t="s">
        <v>821</v>
      </c>
      <c r="B1280" s="12">
        <v>43</v>
      </c>
      <c r="C1280" s="3">
        <v>1265</v>
      </c>
      <c r="D1280" s="50">
        <f t="shared" si="30"/>
        <v>54395</v>
      </c>
      <c r="E1280" s="10"/>
      <c r="F1280" s="10"/>
      <c r="G1280" s="10"/>
    </row>
    <row r="1281" spans="1:6" ht="18.75" x14ac:dyDescent="0.3">
      <c r="A1281" s="2" t="s">
        <v>819</v>
      </c>
      <c r="B1281" s="12">
        <v>65</v>
      </c>
      <c r="C1281" s="3">
        <v>1265</v>
      </c>
      <c r="D1281" s="50">
        <f t="shared" si="30"/>
        <v>82225</v>
      </c>
      <c r="E1281" s="10"/>
      <c r="F1281" s="10"/>
    </row>
    <row r="1282" spans="1:6" ht="18.75" x14ac:dyDescent="0.3">
      <c r="A1282" s="2" t="s">
        <v>26</v>
      </c>
      <c r="B1282" s="15">
        <v>105</v>
      </c>
      <c r="C1282" s="3">
        <v>1265</v>
      </c>
      <c r="D1282" s="50">
        <f t="shared" si="30"/>
        <v>132825</v>
      </c>
      <c r="E1282" s="10"/>
      <c r="F1282" s="10"/>
    </row>
    <row r="1283" spans="1:6" ht="18.75" x14ac:dyDescent="0.3">
      <c r="A1283" s="2"/>
      <c r="B1283" s="15"/>
      <c r="C1283" s="3"/>
      <c r="D1283" s="50">
        <f t="shared" si="30"/>
        <v>0</v>
      </c>
      <c r="E1283" s="10"/>
      <c r="F1283" s="16"/>
    </row>
    <row r="1284" spans="1:6" ht="18.75" x14ac:dyDescent="0.3">
      <c r="A1284" s="2"/>
      <c r="B1284" s="15"/>
      <c r="C1284" s="3"/>
      <c r="D1284" s="50"/>
      <c r="E1284" s="10"/>
      <c r="F1284" s="17"/>
    </row>
    <row r="1285" spans="1:6" ht="18.75" x14ac:dyDescent="0.3">
      <c r="A1285" s="2"/>
      <c r="B1285" s="12"/>
      <c r="C1285" s="3"/>
      <c r="D1285" s="50"/>
      <c r="E1285" s="10"/>
      <c r="F1285" s="10"/>
    </row>
    <row r="1286" spans="1:6" ht="18.75" x14ac:dyDescent="0.3">
      <c r="A1286" s="2"/>
      <c r="B1286" s="12"/>
      <c r="C1286" s="3"/>
      <c r="D1286" s="50"/>
      <c r="E1286" s="10"/>
      <c r="F1286" s="10"/>
    </row>
    <row r="1287" spans="1:6" ht="18.75" x14ac:dyDescent="0.3">
      <c r="A1287" s="18"/>
      <c r="B1287" s="19"/>
      <c r="C1287" s="20"/>
      <c r="D1287" s="13"/>
      <c r="E1287" s="10"/>
      <c r="F1287" s="10"/>
    </row>
    <row r="1288" spans="1:6" ht="18.75" x14ac:dyDescent="0.3">
      <c r="A1288" s="1" t="s">
        <v>10</v>
      </c>
      <c r="B1288" s="1" t="s">
        <v>11</v>
      </c>
      <c r="C1288" s="1" t="s">
        <v>12</v>
      </c>
      <c r="D1288" s="1" t="s">
        <v>13</v>
      </c>
      <c r="E1288" s="1" t="s">
        <v>14</v>
      </c>
      <c r="F1288" s="10"/>
    </row>
    <row r="1289" spans="1:6" ht="18.75" x14ac:dyDescent="0.3">
      <c r="A1289" s="3" t="s">
        <v>201</v>
      </c>
      <c r="B1289" s="101" t="s">
        <v>792</v>
      </c>
      <c r="C1289" s="3">
        <v>1265</v>
      </c>
      <c r="D1289" s="58">
        <v>101200</v>
      </c>
      <c r="E1289" s="3"/>
      <c r="F1289" s="10"/>
    </row>
    <row r="1290" spans="1:6" ht="18.75" x14ac:dyDescent="0.3">
      <c r="A1290" s="3" t="s">
        <v>508</v>
      </c>
      <c r="B1290" s="101" t="s">
        <v>793</v>
      </c>
      <c r="C1290" s="3">
        <v>1265</v>
      </c>
      <c r="D1290" s="58">
        <v>80960</v>
      </c>
      <c r="E1290" s="5"/>
      <c r="F1290" s="10"/>
    </row>
    <row r="1291" spans="1:6" ht="18.75" x14ac:dyDescent="0.3">
      <c r="A1291" s="3" t="s">
        <v>771</v>
      </c>
      <c r="B1291" s="101" t="s">
        <v>24</v>
      </c>
      <c r="C1291" s="3">
        <v>1265</v>
      </c>
      <c r="D1291" s="58">
        <v>86020</v>
      </c>
      <c r="E1291" s="5"/>
      <c r="F1291" s="10"/>
    </row>
    <row r="1292" spans="1:6" ht="18.75" x14ac:dyDescent="0.3">
      <c r="A1292" s="3" t="s">
        <v>119</v>
      </c>
      <c r="B1292" s="101" t="s">
        <v>817</v>
      </c>
      <c r="C1292" s="5">
        <v>1265</v>
      </c>
      <c r="D1292" s="58">
        <v>69575</v>
      </c>
      <c r="E1292" s="3"/>
      <c r="F1292" s="10"/>
    </row>
    <row r="1293" spans="1:6" ht="18.75" x14ac:dyDescent="0.3">
      <c r="A1293" s="6" t="s">
        <v>783</v>
      </c>
      <c r="B1293" s="101" t="s">
        <v>818</v>
      </c>
      <c r="C1293" s="3">
        <v>1265</v>
      </c>
      <c r="D1293" s="58">
        <v>75900</v>
      </c>
      <c r="E1293" s="5"/>
      <c r="F1293" s="10"/>
    </row>
    <row r="1294" spans="1:6" ht="18.75" x14ac:dyDescent="0.3">
      <c r="A1294" s="3" t="s">
        <v>783</v>
      </c>
      <c r="B1294" s="101" t="s">
        <v>821</v>
      </c>
      <c r="C1294" s="3">
        <v>1265</v>
      </c>
      <c r="D1294" s="58">
        <v>54395</v>
      </c>
      <c r="E1294" s="5"/>
      <c r="F1294" s="10"/>
    </row>
    <row r="1295" spans="1:6" ht="18.75" x14ac:dyDescent="0.3">
      <c r="A1295" s="3" t="s">
        <v>778</v>
      </c>
      <c r="B1295" s="101" t="s">
        <v>819</v>
      </c>
      <c r="C1295" s="3">
        <v>1265</v>
      </c>
      <c r="D1295" s="58">
        <v>82225</v>
      </c>
      <c r="E1295" s="5"/>
      <c r="F1295" s="10"/>
    </row>
    <row r="1296" spans="1:6" ht="18.75" x14ac:dyDescent="0.3">
      <c r="A1296" s="3" t="s">
        <v>842</v>
      </c>
      <c r="B1296" s="101" t="s">
        <v>26</v>
      </c>
      <c r="C1296" s="3">
        <v>1265</v>
      </c>
      <c r="D1296" s="58">
        <v>132825</v>
      </c>
      <c r="E1296" s="3"/>
      <c r="F1296" s="10"/>
    </row>
    <row r="1297" spans="1:6" ht="18.75" x14ac:dyDescent="0.3">
      <c r="A1297" s="3"/>
      <c r="B1297" s="4"/>
      <c r="C1297" s="3"/>
      <c r="D1297" s="58"/>
      <c r="E1297" s="3"/>
      <c r="F1297" s="10"/>
    </row>
    <row r="1298" spans="1:6" ht="18.75" x14ac:dyDescent="0.3">
      <c r="A1298" s="3"/>
      <c r="B1298" s="4"/>
      <c r="C1298" s="3"/>
      <c r="D1298" s="58"/>
      <c r="E1298" s="3"/>
      <c r="F1298" s="10"/>
    </row>
    <row r="1299" spans="1:6" ht="18.75" x14ac:dyDescent="0.3">
      <c r="A1299" s="3"/>
      <c r="B1299" s="4"/>
      <c r="C1299" s="3"/>
      <c r="D1299" s="58"/>
      <c r="E1299" s="3"/>
      <c r="F1299" s="10"/>
    </row>
    <row r="1300" spans="1:6" ht="18.75" x14ac:dyDescent="0.3">
      <c r="A1300" s="3"/>
      <c r="B1300" s="4"/>
      <c r="C1300" s="3"/>
      <c r="D1300" s="58"/>
      <c r="E1300" s="3"/>
      <c r="F1300" s="10"/>
    </row>
    <row r="1301" spans="1:6" ht="18.75" x14ac:dyDescent="0.3">
      <c r="A1301" s="3"/>
      <c r="B1301" s="4"/>
      <c r="C1301" s="3"/>
      <c r="D1301" s="5"/>
      <c r="E1301" s="3" t="s">
        <v>249</v>
      </c>
      <c r="F1301" s="10"/>
    </row>
    <row r="1302" spans="1:6" ht="18.75" x14ac:dyDescent="0.3">
      <c r="A1302" s="3"/>
      <c r="B1302" s="4"/>
      <c r="C1302" s="3"/>
      <c r="D1302" s="5"/>
      <c r="E1302" s="3"/>
      <c r="F1302" s="10"/>
    </row>
    <row r="1303" spans="1:6" ht="18.75" x14ac:dyDescent="0.3">
      <c r="A1303" s="3"/>
      <c r="B1303" s="4"/>
      <c r="C1303" s="3"/>
      <c r="D1303" s="5"/>
      <c r="E1303" s="3"/>
      <c r="F1303" s="10"/>
    </row>
    <row r="1304" spans="1:6" ht="18.75" x14ac:dyDescent="0.3">
      <c r="A1304" s="3"/>
      <c r="B1304" s="4"/>
      <c r="C1304" s="5"/>
      <c r="D1304" s="5"/>
      <c r="E1304" s="3"/>
      <c r="F1304" s="10"/>
    </row>
    <row r="1305" spans="1:6" ht="18.75" x14ac:dyDescent="0.3">
      <c r="A1305" s="3"/>
      <c r="B1305" s="4"/>
      <c r="C1305" s="5"/>
      <c r="D1305" s="5"/>
      <c r="E1305" s="3"/>
    </row>
    <row r="1306" spans="1:6" ht="18.75" x14ac:dyDescent="0.3">
      <c r="A1306" s="3"/>
      <c r="B1306" s="4"/>
      <c r="C1306" s="5"/>
      <c r="D1306" s="5"/>
      <c r="E1306" s="3"/>
    </row>
    <row r="1307" spans="1:6" ht="18.75" x14ac:dyDescent="0.3">
      <c r="A1307" s="3"/>
      <c r="B1307" s="4"/>
      <c r="C1307" s="5"/>
      <c r="D1307" s="5"/>
      <c r="E1307" s="3"/>
    </row>
    <row r="1308" spans="1:6" ht="18.75" x14ac:dyDescent="0.3">
      <c r="A1308" s="3"/>
      <c r="B1308" s="4"/>
      <c r="C1308" s="5"/>
      <c r="D1308" s="5"/>
      <c r="E1308" s="3"/>
    </row>
    <row r="1309" spans="1:6" ht="18.75" x14ac:dyDescent="0.3">
      <c r="A1309" s="3"/>
      <c r="B1309" s="4"/>
      <c r="C1309" s="5"/>
      <c r="D1309" s="5"/>
      <c r="E1309" s="3"/>
    </row>
    <row r="1310" spans="1:6" ht="18.75" x14ac:dyDescent="0.3">
      <c r="A1310" s="3"/>
      <c r="B1310" s="4"/>
      <c r="C1310" s="5"/>
      <c r="D1310" s="5"/>
      <c r="E1310" s="37"/>
    </row>
    <row r="1316" spans="1:7" ht="18.75" x14ac:dyDescent="0.3">
      <c r="A1316" s="35" t="s">
        <v>0</v>
      </c>
      <c r="B1316" s="35" t="s">
        <v>1</v>
      </c>
      <c r="C1316" s="35" t="s">
        <v>2</v>
      </c>
      <c r="D1316" s="35" t="s">
        <v>3</v>
      </c>
      <c r="E1316" s="35" t="s">
        <v>4</v>
      </c>
      <c r="F1316" s="35" t="s">
        <v>5</v>
      </c>
      <c r="G1316" s="35" t="s">
        <v>6</v>
      </c>
    </row>
    <row r="1317" spans="1:7" ht="18.75" x14ac:dyDescent="0.3">
      <c r="A1317" s="22">
        <v>2076</v>
      </c>
      <c r="B1317" s="22" t="s">
        <v>780</v>
      </c>
      <c r="C1317" s="23" t="s">
        <v>853</v>
      </c>
      <c r="D1317" s="24">
        <v>1265</v>
      </c>
      <c r="E1317" s="22">
        <v>900</v>
      </c>
      <c r="F1317" s="25" t="s">
        <v>858</v>
      </c>
      <c r="G1317" s="26">
        <f>D1317*E1317</f>
        <v>1138500</v>
      </c>
    </row>
    <row r="1318" spans="1:7" ht="18.75" x14ac:dyDescent="0.3">
      <c r="A1318" s="1" t="s">
        <v>7</v>
      </c>
      <c r="B1318" s="7">
        <v>5.4</v>
      </c>
      <c r="C1318" s="48" t="s">
        <v>3</v>
      </c>
      <c r="D1318" s="48" t="s">
        <v>8</v>
      </c>
      <c r="E1318" s="46">
        <v>683100</v>
      </c>
      <c r="F1318" s="10"/>
      <c r="G1318" s="11">
        <v>455400</v>
      </c>
    </row>
    <row r="1319" spans="1:7" ht="18.75" x14ac:dyDescent="0.3">
      <c r="A1319" s="2" t="s">
        <v>792</v>
      </c>
      <c r="B1319" s="12">
        <v>80</v>
      </c>
      <c r="C1319" s="5">
        <v>1265</v>
      </c>
      <c r="D1319" s="50">
        <f t="shared" ref="D1319:D1327" si="31">B1319*C1319</f>
        <v>101200</v>
      </c>
      <c r="E1319" s="21">
        <v>0.6</v>
      </c>
      <c r="F1319" s="10"/>
      <c r="G1319" s="21">
        <v>0.4</v>
      </c>
    </row>
    <row r="1320" spans="1:7" ht="18.75" x14ac:dyDescent="0.3">
      <c r="A1320" s="2" t="s">
        <v>793</v>
      </c>
      <c r="B1320" s="12">
        <v>64</v>
      </c>
      <c r="C1320" s="3">
        <v>1265</v>
      </c>
      <c r="D1320" s="50">
        <f t="shared" si="31"/>
        <v>80960</v>
      </c>
      <c r="E1320" s="10"/>
      <c r="F1320" s="10"/>
      <c r="G1320" s="10"/>
    </row>
    <row r="1321" spans="1:7" ht="18.75" x14ac:dyDescent="0.3">
      <c r="A1321" s="2" t="s">
        <v>24</v>
      </c>
      <c r="B1321" s="12">
        <v>68</v>
      </c>
      <c r="C1321" s="3">
        <v>1265</v>
      </c>
      <c r="D1321" s="50">
        <f t="shared" si="31"/>
        <v>86020</v>
      </c>
      <c r="E1321" s="10"/>
      <c r="F1321" s="10"/>
      <c r="G1321" s="10"/>
    </row>
    <row r="1322" spans="1:7" ht="18.75" x14ac:dyDescent="0.3">
      <c r="A1322" s="2" t="s">
        <v>817</v>
      </c>
      <c r="B1322" s="12">
        <v>55</v>
      </c>
      <c r="C1322" s="5">
        <v>1265</v>
      </c>
      <c r="D1322" s="50">
        <f t="shared" si="31"/>
        <v>69575</v>
      </c>
      <c r="E1322" s="10"/>
      <c r="F1322" s="10"/>
      <c r="G1322" s="10"/>
    </row>
    <row r="1323" spans="1:7" ht="18.75" x14ac:dyDescent="0.3">
      <c r="A1323" s="2" t="s">
        <v>818</v>
      </c>
      <c r="B1323" s="12">
        <v>60</v>
      </c>
      <c r="C1323" s="3">
        <v>1265</v>
      </c>
      <c r="D1323" s="50">
        <f t="shared" si="31"/>
        <v>75900</v>
      </c>
      <c r="E1323" s="10"/>
      <c r="F1323" s="10"/>
      <c r="G1323" s="14">
        <f>E1318-D1333-D1334-D1335-D1336-D1337-D1338-D1339-D1340-D1341-D1342-D1343-D1344-D1345-D1346-D1347-D1348-D1349-D1350-D1351-D1352-D1353-D1354-D1355-D1355</f>
        <v>0</v>
      </c>
    </row>
    <row r="1324" spans="1:7" ht="18.75" x14ac:dyDescent="0.3">
      <c r="A1324" s="2" t="s">
        <v>821</v>
      </c>
      <c r="B1324" s="12">
        <v>43</v>
      </c>
      <c r="C1324" s="3">
        <v>1265</v>
      </c>
      <c r="D1324" s="50">
        <f t="shared" si="31"/>
        <v>54395</v>
      </c>
      <c r="E1324" s="10"/>
      <c r="F1324" s="10"/>
      <c r="G1324" s="10"/>
    </row>
    <row r="1325" spans="1:7" ht="18.75" x14ac:dyDescent="0.3">
      <c r="A1325" s="2" t="s">
        <v>819</v>
      </c>
      <c r="B1325" s="12">
        <v>65</v>
      </c>
      <c r="C1325" s="3">
        <v>1265</v>
      </c>
      <c r="D1325" s="50">
        <f t="shared" si="31"/>
        <v>82225</v>
      </c>
      <c r="E1325" s="10"/>
      <c r="F1325" s="10"/>
    </row>
    <row r="1326" spans="1:7" ht="18.75" x14ac:dyDescent="0.3">
      <c r="A1326" s="2" t="s">
        <v>26</v>
      </c>
      <c r="B1326" s="15">
        <v>105</v>
      </c>
      <c r="C1326" s="3">
        <v>1265</v>
      </c>
      <c r="D1326" s="50">
        <f t="shared" si="31"/>
        <v>132825</v>
      </c>
      <c r="E1326" s="10"/>
      <c r="F1326" s="10"/>
    </row>
    <row r="1327" spans="1:7" ht="18.75" x14ac:dyDescent="0.3">
      <c r="A1327" s="2"/>
      <c r="B1327" s="15"/>
      <c r="C1327" s="3"/>
      <c r="D1327" s="50">
        <f t="shared" si="31"/>
        <v>0</v>
      </c>
      <c r="E1327" s="10"/>
      <c r="F1327" s="16"/>
    </row>
    <row r="1328" spans="1:7" ht="18.75" x14ac:dyDescent="0.3">
      <c r="A1328" s="2"/>
      <c r="B1328" s="15"/>
      <c r="C1328" s="3"/>
      <c r="D1328" s="50"/>
      <c r="E1328" s="10"/>
      <c r="F1328" s="17"/>
    </row>
    <row r="1329" spans="1:6" ht="18.75" x14ac:dyDescent="0.3">
      <c r="A1329" s="2"/>
      <c r="B1329" s="12"/>
      <c r="C1329" s="3"/>
      <c r="D1329" s="50"/>
      <c r="E1329" s="10"/>
      <c r="F1329" s="10"/>
    </row>
    <row r="1330" spans="1:6" ht="18.75" x14ac:dyDescent="0.3">
      <c r="A1330" s="2"/>
      <c r="B1330" s="12"/>
      <c r="C1330" s="3"/>
      <c r="D1330" s="50"/>
      <c r="E1330" s="10"/>
      <c r="F1330" s="10"/>
    </row>
    <row r="1331" spans="1:6" ht="18.75" x14ac:dyDescent="0.3">
      <c r="A1331" s="18"/>
      <c r="B1331" s="19"/>
      <c r="C1331" s="20"/>
      <c r="D1331" s="13"/>
      <c r="E1331" s="10"/>
      <c r="F1331" s="10"/>
    </row>
    <row r="1332" spans="1:6" ht="18.75" x14ac:dyDescent="0.3">
      <c r="A1332" s="1" t="s">
        <v>10</v>
      </c>
      <c r="B1332" s="1" t="s">
        <v>11</v>
      </c>
      <c r="C1332" s="1" t="s">
        <v>12</v>
      </c>
      <c r="D1332" s="1" t="s">
        <v>13</v>
      </c>
      <c r="E1332" s="1" t="s">
        <v>14</v>
      </c>
      <c r="F1332" s="10"/>
    </row>
    <row r="1333" spans="1:6" ht="18.75" x14ac:dyDescent="0.3">
      <c r="A1333" s="3" t="s">
        <v>16</v>
      </c>
      <c r="B1333" s="101" t="s">
        <v>792</v>
      </c>
      <c r="C1333" s="3">
        <v>1265</v>
      </c>
      <c r="D1333" s="58">
        <v>101200</v>
      </c>
      <c r="E1333" s="3"/>
      <c r="F1333" s="10"/>
    </row>
    <row r="1334" spans="1:6" ht="18.75" x14ac:dyDescent="0.3">
      <c r="A1334" s="3" t="s">
        <v>201</v>
      </c>
      <c r="B1334" s="101" t="s">
        <v>793</v>
      </c>
      <c r="C1334" s="3">
        <v>1265</v>
      </c>
      <c r="D1334" s="58">
        <v>80960</v>
      </c>
      <c r="E1334" s="5"/>
      <c r="F1334" s="10"/>
    </row>
    <row r="1335" spans="1:6" ht="18.75" x14ac:dyDescent="0.3">
      <c r="A1335" s="3" t="s">
        <v>771</v>
      </c>
      <c r="B1335" s="101" t="s">
        <v>24</v>
      </c>
      <c r="C1335" s="3">
        <v>1265</v>
      </c>
      <c r="D1335" s="58">
        <v>86020</v>
      </c>
      <c r="E1335" s="5"/>
      <c r="F1335" s="10"/>
    </row>
    <row r="1336" spans="1:6" ht="18.75" x14ac:dyDescent="0.3">
      <c r="A1336" s="3" t="s">
        <v>119</v>
      </c>
      <c r="B1336" s="101" t="s">
        <v>817</v>
      </c>
      <c r="C1336" s="5">
        <v>1265</v>
      </c>
      <c r="D1336" s="58">
        <v>69575</v>
      </c>
      <c r="E1336" s="3"/>
      <c r="F1336" s="10"/>
    </row>
    <row r="1337" spans="1:6" ht="18.75" x14ac:dyDescent="0.3">
      <c r="A1337" s="6" t="s">
        <v>783</v>
      </c>
      <c r="B1337" s="101" t="s">
        <v>818</v>
      </c>
      <c r="C1337" s="3">
        <v>1265</v>
      </c>
      <c r="D1337" s="58">
        <v>75900</v>
      </c>
      <c r="E1337" s="5"/>
      <c r="F1337" s="10"/>
    </row>
    <row r="1338" spans="1:6" ht="18.75" x14ac:dyDescent="0.3">
      <c r="A1338" s="3" t="s">
        <v>783</v>
      </c>
      <c r="B1338" s="101" t="s">
        <v>821</v>
      </c>
      <c r="C1338" s="3">
        <v>1265</v>
      </c>
      <c r="D1338" s="58">
        <v>54395</v>
      </c>
      <c r="E1338" s="5"/>
      <c r="F1338" s="10"/>
    </row>
    <row r="1339" spans="1:6" ht="18.75" x14ac:dyDescent="0.3">
      <c r="A1339" s="3" t="s">
        <v>778</v>
      </c>
      <c r="B1339" s="101" t="s">
        <v>819</v>
      </c>
      <c r="C1339" s="3">
        <v>1265</v>
      </c>
      <c r="D1339" s="58">
        <v>82225</v>
      </c>
      <c r="E1339" s="5"/>
      <c r="F1339" s="10"/>
    </row>
    <row r="1340" spans="1:6" ht="18.75" x14ac:dyDescent="0.3">
      <c r="A1340" s="3" t="s">
        <v>842</v>
      </c>
      <c r="B1340" s="101" t="s">
        <v>26</v>
      </c>
      <c r="C1340" s="3">
        <v>1265</v>
      </c>
      <c r="D1340" s="58">
        <v>132825</v>
      </c>
      <c r="E1340" s="3"/>
      <c r="F1340" s="10"/>
    </row>
    <row r="1341" spans="1:6" ht="18.75" x14ac:dyDescent="0.3">
      <c r="A1341" s="3"/>
      <c r="B1341" s="4"/>
      <c r="C1341" s="3"/>
      <c r="D1341" s="58"/>
      <c r="E1341" s="3"/>
      <c r="F1341" s="10"/>
    </row>
    <row r="1342" spans="1:6" ht="18.75" x14ac:dyDescent="0.3">
      <c r="A1342" s="3"/>
      <c r="B1342" s="4"/>
      <c r="C1342" s="3"/>
      <c r="D1342" s="58"/>
      <c r="E1342" s="3"/>
      <c r="F1342" s="10"/>
    </row>
    <row r="1343" spans="1:6" ht="18.75" x14ac:dyDescent="0.3">
      <c r="A1343" s="3"/>
      <c r="B1343" s="4"/>
      <c r="C1343" s="3"/>
      <c r="D1343" s="58"/>
      <c r="E1343" s="3"/>
      <c r="F1343" s="10"/>
    </row>
    <row r="1344" spans="1:6" ht="18.75" x14ac:dyDescent="0.3">
      <c r="A1344" s="3"/>
      <c r="B1344" s="4"/>
      <c r="C1344" s="3"/>
      <c r="D1344" s="58"/>
      <c r="E1344" s="3"/>
      <c r="F1344" s="10"/>
    </row>
    <row r="1345" spans="1:6" ht="18.75" x14ac:dyDescent="0.3">
      <c r="A1345" s="3"/>
      <c r="B1345" s="4"/>
      <c r="C1345" s="3"/>
      <c r="D1345" s="5"/>
      <c r="E1345" s="3" t="s">
        <v>249</v>
      </c>
      <c r="F1345" s="10"/>
    </row>
    <row r="1346" spans="1:6" ht="18.75" x14ac:dyDescent="0.3">
      <c r="A1346" s="3"/>
      <c r="B1346" s="4"/>
      <c r="C1346" s="3"/>
      <c r="D1346" s="5"/>
      <c r="E1346" s="3"/>
      <c r="F1346" s="10"/>
    </row>
    <row r="1347" spans="1:6" ht="18.75" x14ac:dyDescent="0.3">
      <c r="A1347" s="3"/>
      <c r="B1347" s="4"/>
      <c r="C1347" s="3"/>
      <c r="D1347" s="5"/>
      <c r="E1347" s="3"/>
      <c r="F1347" s="10"/>
    </row>
    <row r="1348" spans="1:6" ht="18.75" x14ac:dyDescent="0.3">
      <c r="A1348" s="3"/>
      <c r="B1348" s="4"/>
      <c r="C1348" s="5"/>
      <c r="D1348" s="5"/>
      <c r="E1348" s="3"/>
      <c r="F1348" s="10"/>
    </row>
    <row r="1349" spans="1:6" ht="18.75" x14ac:dyDescent="0.3">
      <c r="A1349" s="3"/>
      <c r="B1349" s="4"/>
      <c r="C1349" s="5"/>
      <c r="D1349" s="5"/>
      <c r="E1349" s="3"/>
    </row>
    <row r="1350" spans="1:6" ht="18.75" x14ac:dyDescent="0.3">
      <c r="A1350" s="3"/>
      <c r="B1350" s="4"/>
      <c r="C1350" s="5"/>
      <c r="D1350" s="5"/>
      <c r="E1350" s="3"/>
    </row>
    <row r="1351" spans="1:6" ht="18.75" x14ac:dyDescent="0.3">
      <c r="A1351" s="3"/>
      <c r="B1351" s="4"/>
      <c r="C1351" s="5"/>
      <c r="D1351" s="5"/>
      <c r="E1351" s="3"/>
    </row>
    <row r="1352" spans="1:6" ht="18.75" x14ac:dyDescent="0.3">
      <c r="A1352" s="3"/>
      <c r="B1352" s="4"/>
      <c r="C1352" s="5"/>
      <c r="D1352" s="5"/>
      <c r="E1352" s="3"/>
    </row>
    <row r="1353" spans="1:6" ht="18.75" x14ac:dyDescent="0.3">
      <c r="A1353" s="3"/>
      <c r="B1353" s="4"/>
      <c r="C1353" s="5"/>
      <c r="D1353" s="5"/>
      <c r="E1353" s="3"/>
    </row>
    <row r="1354" spans="1:6" ht="18.75" x14ac:dyDescent="0.3">
      <c r="A1354" s="3"/>
      <c r="B1354" s="4"/>
      <c r="C1354" s="5"/>
      <c r="D1354" s="5"/>
      <c r="E1354" s="37"/>
    </row>
    <row r="1366" spans="1:7" ht="18.75" x14ac:dyDescent="0.3">
      <c r="A1366" s="35" t="s">
        <v>0</v>
      </c>
      <c r="B1366" s="35" t="s">
        <v>1</v>
      </c>
      <c r="C1366" s="35" t="s">
        <v>2</v>
      </c>
      <c r="D1366" s="35" t="s">
        <v>3</v>
      </c>
      <c r="E1366" s="35" t="s">
        <v>4</v>
      </c>
      <c r="F1366" s="35" t="s">
        <v>5</v>
      </c>
      <c r="G1366" s="35" t="s">
        <v>6</v>
      </c>
    </row>
    <row r="1367" spans="1:7" ht="18.75" x14ac:dyDescent="0.3">
      <c r="A1367" s="22">
        <v>2088</v>
      </c>
      <c r="B1367" s="22" t="s">
        <v>780</v>
      </c>
      <c r="C1367" s="23" t="s">
        <v>878</v>
      </c>
      <c r="D1367" s="24">
        <v>1644</v>
      </c>
      <c r="E1367" s="22">
        <v>900</v>
      </c>
      <c r="F1367" s="25" t="s">
        <v>140</v>
      </c>
      <c r="G1367" s="26">
        <f>D1367*E1367</f>
        <v>1479600</v>
      </c>
    </row>
    <row r="1368" spans="1:7" ht="18.75" x14ac:dyDescent="0.3">
      <c r="A1368" s="1" t="s">
        <v>7</v>
      </c>
      <c r="B1368" s="7">
        <v>5.4</v>
      </c>
      <c r="C1368" s="48" t="s">
        <v>3</v>
      </c>
      <c r="D1368" s="48" t="s">
        <v>8</v>
      </c>
      <c r="E1368" s="46">
        <v>887760</v>
      </c>
      <c r="F1368" s="10"/>
      <c r="G1368" s="11">
        <v>591840</v>
      </c>
    </row>
    <row r="1369" spans="1:7" ht="18.75" x14ac:dyDescent="0.3">
      <c r="A1369" s="2" t="s">
        <v>72</v>
      </c>
      <c r="B1369" s="12">
        <v>89</v>
      </c>
      <c r="C1369" s="5">
        <v>1644</v>
      </c>
      <c r="D1369" s="50">
        <f t="shared" ref="D1369:D1377" si="32">B1369*C1369</f>
        <v>146316</v>
      </c>
      <c r="E1369" s="21">
        <v>0.6</v>
      </c>
      <c r="F1369" s="10"/>
      <c r="G1369" s="21">
        <v>0.4</v>
      </c>
    </row>
    <row r="1370" spans="1:7" ht="18.75" x14ac:dyDescent="0.3">
      <c r="A1370" s="2" t="s">
        <v>869</v>
      </c>
      <c r="B1370" s="12">
        <v>86</v>
      </c>
      <c r="C1370" s="3">
        <v>1644</v>
      </c>
      <c r="D1370" s="50">
        <f t="shared" si="32"/>
        <v>141384</v>
      </c>
      <c r="E1370" s="10"/>
      <c r="F1370" s="10"/>
      <c r="G1370" s="10"/>
    </row>
    <row r="1371" spans="1:7" ht="18.75" x14ac:dyDescent="0.3">
      <c r="A1371" s="2" t="s">
        <v>767</v>
      </c>
      <c r="B1371" s="12">
        <v>64</v>
      </c>
      <c r="C1371" s="3">
        <v>1644</v>
      </c>
      <c r="D1371" s="50">
        <f>B1371*C1371</f>
        <v>105216</v>
      </c>
      <c r="E1371" s="10"/>
      <c r="F1371" s="10"/>
      <c r="G1371" s="10"/>
    </row>
    <row r="1372" spans="1:7" ht="18.75" x14ac:dyDescent="0.3">
      <c r="A1372" s="2" t="s">
        <v>75</v>
      </c>
      <c r="B1372" s="12">
        <v>66</v>
      </c>
      <c r="C1372" s="5">
        <v>1644</v>
      </c>
      <c r="D1372" s="50">
        <f t="shared" si="32"/>
        <v>108504</v>
      </c>
      <c r="E1372" s="10"/>
      <c r="F1372" s="10"/>
      <c r="G1372" s="10"/>
    </row>
    <row r="1373" spans="1:7" ht="18.75" x14ac:dyDescent="0.3">
      <c r="A1373" s="2" t="s">
        <v>156</v>
      </c>
      <c r="B1373" s="12">
        <v>60</v>
      </c>
      <c r="C1373" s="3">
        <v>1644</v>
      </c>
      <c r="D1373" s="50">
        <f t="shared" si="32"/>
        <v>98640</v>
      </c>
      <c r="E1373" s="10"/>
      <c r="F1373" s="10"/>
      <c r="G1373" s="14">
        <f>E1368-D1383-D1384-D1385-D1386-D1387-D1388-D1389-D1390-D1391-D1392-D1393-D1394-D1395-D1396-D1397-D1398-D1399-D1400-D1401-D1402-D1403-D1404-D1405-D1405</f>
        <v>0</v>
      </c>
    </row>
    <row r="1374" spans="1:7" ht="18.75" x14ac:dyDescent="0.3">
      <c r="A1374" s="2" t="s">
        <v>49</v>
      </c>
      <c r="B1374" s="12">
        <v>58</v>
      </c>
      <c r="C1374" s="3">
        <v>1644</v>
      </c>
      <c r="D1374" s="50">
        <f t="shared" si="32"/>
        <v>95352</v>
      </c>
      <c r="E1374" s="10"/>
      <c r="F1374" s="10"/>
      <c r="G1374" s="10"/>
    </row>
    <row r="1375" spans="1:7" ht="18.75" x14ac:dyDescent="0.3">
      <c r="A1375" s="2" t="s">
        <v>53</v>
      </c>
      <c r="B1375" s="12">
        <v>43</v>
      </c>
      <c r="C1375" s="3">
        <v>1644</v>
      </c>
      <c r="D1375" s="50">
        <f t="shared" si="32"/>
        <v>70692</v>
      </c>
      <c r="E1375" s="10"/>
      <c r="F1375" s="10"/>
    </row>
    <row r="1376" spans="1:7" ht="18.75" x14ac:dyDescent="0.3">
      <c r="A1376" s="2" t="s">
        <v>26</v>
      </c>
      <c r="B1376" s="15">
        <v>74</v>
      </c>
      <c r="C1376" s="3">
        <v>1644</v>
      </c>
      <c r="D1376" s="50">
        <f t="shared" si="32"/>
        <v>121656</v>
      </c>
      <c r="E1376" s="10"/>
      <c r="F1376" s="10"/>
    </row>
    <row r="1377" spans="1:6" ht="18.75" x14ac:dyDescent="0.3">
      <c r="A1377" s="2"/>
      <c r="B1377" s="15"/>
      <c r="C1377" s="3"/>
      <c r="D1377" s="50">
        <f t="shared" si="32"/>
        <v>0</v>
      </c>
      <c r="E1377" s="10"/>
      <c r="F1377" s="16"/>
    </row>
    <row r="1378" spans="1:6" ht="18.75" x14ac:dyDescent="0.3">
      <c r="A1378" s="2"/>
      <c r="B1378" s="15"/>
      <c r="C1378" s="3"/>
      <c r="D1378" s="50"/>
      <c r="E1378" s="10"/>
      <c r="F1378" s="17"/>
    </row>
    <row r="1379" spans="1:6" ht="18.75" x14ac:dyDescent="0.3">
      <c r="A1379" s="2"/>
      <c r="B1379" s="12"/>
      <c r="C1379" s="3"/>
      <c r="D1379" s="50"/>
      <c r="E1379" s="10"/>
      <c r="F1379" s="10"/>
    </row>
    <row r="1380" spans="1:6" ht="18.75" x14ac:dyDescent="0.3">
      <c r="A1380" s="2"/>
      <c r="B1380" s="12"/>
      <c r="C1380" s="3"/>
      <c r="D1380" s="50"/>
      <c r="E1380" s="10"/>
      <c r="F1380" s="10"/>
    </row>
    <row r="1381" spans="1:6" ht="18.75" x14ac:dyDescent="0.3">
      <c r="A1381" s="18"/>
      <c r="B1381" s="19"/>
      <c r="C1381" s="20"/>
      <c r="D1381" s="13"/>
      <c r="E1381" s="10"/>
      <c r="F1381" s="10"/>
    </row>
    <row r="1382" spans="1:6" ht="18.75" x14ac:dyDescent="0.3">
      <c r="A1382" s="1" t="s">
        <v>10</v>
      </c>
      <c r="B1382" s="1" t="s">
        <v>11</v>
      </c>
      <c r="C1382" s="1" t="s">
        <v>12</v>
      </c>
      <c r="D1382" s="1" t="s">
        <v>13</v>
      </c>
      <c r="E1382" s="1" t="s">
        <v>14</v>
      </c>
      <c r="F1382" s="10"/>
    </row>
    <row r="1383" spans="1:6" ht="18.75" x14ac:dyDescent="0.3">
      <c r="A1383" s="2" t="s">
        <v>771</v>
      </c>
      <c r="B1383" s="101" t="s">
        <v>81</v>
      </c>
      <c r="C1383" s="3">
        <v>1644</v>
      </c>
      <c r="D1383" s="58">
        <v>105216</v>
      </c>
      <c r="E1383" s="3"/>
      <c r="F1383" s="10"/>
    </row>
    <row r="1384" spans="1:6" ht="18.75" x14ac:dyDescent="0.3">
      <c r="A1384" s="2" t="s">
        <v>771</v>
      </c>
      <c r="B1384" s="101" t="s">
        <v>871</v>
      </c>
      <c r="C1384" s="3">
        <v>1644</v>
      </c>
      <c r="D1384" s="58">
        <v>108504</v>
      </c>
      <c r="E1384" s="5"/>
      <c r="F1384" s="10"/>
    </row>
    <row r="1385" spans="1:6" ht="18.75" x14ac:dyDescent="0.3">
      <c r="A1385" s="2" t="s">
        <v>201</v>
      </c>
      <c r="B1385" s="101" t="s">
        <v>872</v>
      </c>
      <c r="C1385" s="3">
        <v>822</v>
      </c>
      <c r="D1385" s="58">
        <v>47676</v>
      </c>
      <c r="E1385" s="5"/>
      <c r="F1385" s="10"/>
    </row>
    <row r="1386" spans="1:6" ht="18.75" x14ac:dyDescent="0.3">
      <c r="A1386" s="2" t="s">
        <v>201</v>
      </c>
      <c r="B1386" s="101" t="s">
        <v>873</v>
      </c>
      <c r="C1386" s="5">
        <v>822</v>
      </c>
      <c r="D1386" s="58">
        <v>70692</v>
      </c>
      <c r="E1386" s="3"/>
      <c r="F1386" s="10"/>
    </row>
    <row r="1387" spans="1:6" ht="18.75" x14ac:dyDescent="0.3">
      <c r="A1387" s="104" t="s">
        <v>508</v>
      </c>
      <c r="B1387" s="101" t="s">
        <v>874</v>
      </c>
      <c r="C1387" s="3">
        <v>822</v>
      </c>
      <c r="D1387" s="58">
        <v>70692</v>
      </c>
      <c r="E1387" s="5"/>
      <c r="F1387" s="10"/>
    </row>
    <row r="1388" spans="1:6" ht="18.75" x14ac:dyDescent="0.3">
      <c r="A1388" s="2" t="s">
        <v>875</v>
      </c>
      <c r="B1388" s="101" t="s">
        <v>876</v>
      </c>
      <c r="C1388" s="3">
        <v>822</v>
      </c>
      <c r="D1388" s="58">
        <v>47676</v>
      </c>
      <c r="E1388" s="5"/>
      <c r="F1388" s="10"/>
    </row>
    <row r="1389" spans="1:6" ht="18.75" x14ac:dyDescent="0.3">
      <c r="A1389" s="2" t="s">
        <v>877</v>
      </c>
      <c r="B1389" s="101" t="s">
        <v>46</v>
      </c>
      <c r="C1389" s="3">
        <v>1644</v>
      </c>
      <c r="D1389" s="58">
        <v>146316</v>
      </c>
      <c r="E1389" s="5"/>
      <c r="F1389" s="10"/>
    </row>
    <row r="1390" spans="1:6" ht="18.75" x14ac:dyDescent="0.3">
      <c r="A1390" s="2" t="s">
        <v>778</v>
      </c>
      <c r="B1390" s="101" t="s">
        <v>156</v>
      </c>
      <c r="C1390" s="3">
        <v>1644</v>
      </c>
      <c r="D1390" s="58">
        <v>98640</v>
      </c>
      <c r="E1390" s="3"/>
      <c r="F1390" s="10"/>
    </row>
    <row r="1391" spans="1:6" ht="18.75" x14ac:dyDescent="0.3">
      <c r="A1391" s="2" t="s">
        <v>27</v>
      </c>
      <c r="B1391" s="101" t="s">
        <v>53</v>
      </c>
      <c r="C1391" s="3">
        <v>1644</v>
      </c>
      <c r="D1391" s="58">
        <v>70692</v>
      </c>
      <c r="E1391" s="3"/>
      <c r="F1391" s="10"/>
    </row>
    <row r="1392" spans="1:6" ht="18.75" x14ac:dyDescent="0.3">
      <c r="A1392" s="2" t="s">
        <v>842</v>
      </c>
      <c r="B1392" s="101" t="s">
        <v>26</v>
      </c>
      <c r="C1392" s="3">
        <v>1644</v>
      </c>
      <c r="D1392" s="58">
        <v>121656</v>
      </c>
      <c r="E1392" s="3"/>
      <c r="F1392" s="10"/>
    </row>
    <row r="1393" spans="1:6" ht="18.75" x14ac:dyDescent="0.3">
      <c r="A1393" s="3"/>
      <c r="B1393" s="4"/>
      <c r="C1393" s="3"/>
      <c r="D1393" s="58"/>
      <c r="E1393" s="3"/>
      <c r="F1393" s="10"/>
    </row>
    <row r="1394" spans="1:6" ht="18.75" x14ac:dyDescent="0.3">
      <c r="A1394" s="3"/>
      <c r="B1394" s="4"/>
      <c r="C1394" s="3"/>
      <c r="D1394" s="58"/>
      <c r="E1394" s="3"/>
      <c r="F1394" s="10"/>
    </row>
    <row r="1395" spans="1:6" ht="18.75" x14ac:dyDescent="0.3">
      <c r="A1395" s="3"/>
      <c r="B1395" s="4"/>
      <c r="C1395" s="3"/>
      <c r="D1395" s="5"/>
      <c r="E1395" s="3" t="s">
        <v>249</v>
      </c>
      <c r="F1395" s="10"/>
    </row>
    <row r="1396" spans="1:6" ht="18.75" x14ac:dyDescent="0.3">
      <c r="A1396" s="3"/>
      <c r="B1396" s="4"/>
      <c r="C1396" s="3"/>
      <c r="D1396" s="5"/>
      <c r="E1396" s="3"/>
      <c r="F1396" s="10"/>
    </row>
    <row r="1397" spans="1:6" ht="18.75" x14ac:dyDescent="0.3">
      <c r="A1397" s="3"/>
      <c r="B1397" s="4"/>
      <c r="C1397" s="3"/>
      <c r="D1397" s="5"/>
      <c r="E1397" s="3"/>
      <c r="F1397" s="10"/>
    </row>
    <row r="1398" spans="1:6" ht="18.75" x14ac:dyDescent="0.3">
      <c r="A1398" s="3"/>
      <c r="B1398" s="4"/>
      <c r="C1398" s="5"/>
      <c r="D1398" s="5"/>
      <c r="E1398" s="3"/>
      <c r="F1398" s="10"/>
    </row>
    <row r="1399" spans="1:6" ht="18.75" x14ac:dyDescent="0.3">
      <c r="A1399" s="3"/>
      <c r="B1399" s="4"/>
      <c r="C1399" s="5"/>
      <c r="D1399" s="5"/>
      <c r="E1399" s="3"/>
    </row>
    <row r="1400" spans="1:6" ht="18.75" x14ac:dyDescent="0.3">
      <c r="A1400" s="3"/>
      <c r="B1400" s="4"/>
      <c r="C1400" s="5"/>
      <c r="D1400" s="5"/>
      <c r="E1400" s="3"/>
    </row>
    <row r="1401" spans="1:6" ht="18.75" x14ac:dyDescent="0.3">
      <c r="A1401" s="3"/>
      <c r="B1401" s="4"/>
      <c r="C1401" s="5"/>
      <c r="D1401" s="5"/>
      <c r="E1401" s="3"/>
    </row>
    <row r="1402" spans="1:6" ht="18.75" x14ac:dyDescent="0.3">
      <c r="A1402" s="3"/>
      <c r="B1402" s="4"/>
      <c r="C1402" s="5"/>
      <c r="D1402" s="5"/>
      <c r="E1402" s="3"/>
    </row>
    <row r="1403" spans="1:6" ht="18.75" x14ac:dyDescent="0.3">
      <c r="A1403" s="3"/>
      <c r="B1403" s="4"/>
      <c r="C1403" s="5"/>
      <c r="D1403" s="5"/>
      <c r="E1403" s="3"/>
    </row>
    <row r="1404" spans="1:6" ht="18.75" x14ac:dyDescent="0.3">
      <c r="A1404" s="3"/>
      <c r="B1404" s="4"/>
      <c r="C1404" s="5"/>
      <c r="D1404" s="5"/>
      <c r="E1404" s="37"/>
    </row>
    <row r="1411" spans="1:7" ht="18.75" x14ac:dyDescent="0.3">
      <c r="A1411" s="35" t="s">
        <v>0</v>
      </c>
      <c r="B1411" s="35" t="s">
        <v>1</v>
      </c>
      <c r="C1411" s="35" t="s">
        <v>2</v>
      </c>
      <c r="D1411" s="35" t="s">
        <v>3</v>
      </c>
      <c r="E1411" s="35" t="s">
        <v>4</v>
      </c>
      <c r="F1411" s="35" t="s">
        <v>5</v>
      </c>
      <c r="G1411" s="35" t="s">
        <v>6</v>
      </c>
    </row>
    <row r="1412" spans="1:7" ht="18.75" x14ac:dyDescent="0.3">
      <c r="A1412" s="22">
        <v>2097</v>
      </c>
      <c r="B1412" s="22" t="s">
        <v>780</v>
      </c>
      <c r="C1412" s="23" t="s">
        <v>879</v>
      </c>
      <c r="D1412" s="24">
        <v>1223</v>
      </c>
      <c r="E1412" s="22">
        <v>900</v>
      </c>
      <c r="F1412" s="25" t="s">
        <v>599</v>
      </c>
      <c r="G1412" s="26">
        <f>D1412*E1412</f>
        <v>1100700</v>
      </c>
    </row>
    <row r="1413" spans="1:7" ht="18.75" x14ac:dyDescent="0.3">
      <c r="A1413" s="1" t="s">
        <v>7</v>
      </c>
      <c r="B1413" s="7">
        <v>5.4</v>
      </c>
      <c r="C1413" s="48" t="s">
        <v>3</v>
      </c>
      <c r="D1413" s="48" t="s">
        <v>8</v>
      </c>
      <c r="E1413" s="46">
        <v>660420</v>
      </c>
      <c r="F1413" s="10"/>
      <c r="G1413" s="11">
        <v>440280</v>
      </c>
    </row>
    <row r="1414" spans="1:7" ht="18.75" x14ac:dyDescent="0.3">
      <c r="A1414" s="2" t="s">
        <v>792</v>
      </c>
      <c r="B1414" s="12">
        <v>80</v>
      </c>
      <c r="C1414" s="12">
        <v>1223</v>
      </c>
      <c r="D1414" s="50">
        <f t="shared" ref="D1414:D1422" si="33">B1414*C1414</f>
        <v>97840</v>
      </c>
      <c r="E1414" s="21">
        <v>0.6</v>
      </c>
      <c r="F1414" s="10"/>
      <c r="G1414" s="21">
        <v>0.4</v>
      </c>
    </row>
    <row r="1415" spans="1:7" ht="18.75" x14ac:dyDescent="0.3">
      <c r="A1415" s="2" t="s">
        <v>793</v>
      </c>
      <c r="B1415" s="12">
        <v>64</v>
      </c>
      <c r="C1415" s="12">
        <v>1223</v>
      </c>
      <c r="D1415" s="50">
        <f t="shared" si="33"/>
        <v>78272</v>
      </c>
      <c r="E1415" s="10"/>
      <c r="F1415" s="10"/>
      <c r="G1415" s="10"/>
    </row>
    <row r="1416" spans="1:7" ht="18.75" x14ac:dyDescent="0.3">
      <c r="A1416" s="2" t="s">
        <v>24</v>
      </c>
      <c r="B1416" s="12">
        <v>68</v>
      </c>
      <c r="C1416" s="12">
        <v>1223</v>
      </c>
      <c r="D1416" s="50">
        <f t="shared" si="33"/>
        <v>83164</v>
      </c>
      <c r="E1416" s="10"/>
      <c r="F1416" s="10"/>
      <c r="G1416" s="10"/>
    </row>
    <row r="1417" spans="1:7" ht="18.75" x14ac:dyDescent="0.3">
      <c r="A1417" s="2" t="s">
        <v>817</v>
      </c>
      <c r="B1417" s="12">
        <v>55</v>
      </c>
      <c r="C1417" s="12">
        <v>1223</v>
      </c>
      <c r="D1417" s="50">
        <f t="shared" si="33"/>
        <v>67265</v>
      </c>
      <c r="E1417" s="10"/>
      <c r="F1417" s="10"/>
      <c r="G1417" s="10"/>
    </row>
    <row r="1418" spans="1:7" ht="18.75" x14ac:dyDescent="0.3">
      <c r="A1418" s="2" t="s">
        <v>818</v>
      </c>
      <c r="B1418" s="12">
        <v>60</v>
      </c>
      <c r="C1418" s="12">
        <v>1223</v>
      </c>
      <c r="D1418" s="50">
        <f t="shared" si="33"/>
        <v>73380</v>
      </c>
      <c r="E1418" s="10"/>
      <c r="F1418" s="10"/>
      <c r="G1418" s="14">
        <f>E1413-D1428-D1429-D1430-D1431-D1432-D1433-D1434-D1435-D1436-D1437-D1438-D1439-D1440-D1441-D1442-D1443-D1444-D1445-D1446-D1447-D1448-D1449-D1450-D1450</f>
        <v>0</v>
      </c>
    </row>
    <row r="1419" spans="1:7" ht="18.75" x14ac:dyDescent="0.3">
      <c r="A1419" s="2" t="s">
        <v>880</v>
      </c>
      <c r="B1419" s="12">
        <v>43</v>
      </c>
      <c r="C1419" s="12">
        <v>1223</v>
      </c>
      <c r="D1419" s="50">
        <f t="shared" si="33"/>
        <v>52589</v>
      </c>
      <c r="E1419" s="10"/>
      <c r="F1419" s="10"/>
      <c r="G1419" s="10"/>
    </row>
    <row r="1420" spans="1:7" ht="18.75" x14ac:dyDescent="0.3">
      <c r="A1420" s="2" t="s">
        <v>838</v>
      </c>
      <c r="B1420" s="12">
        <v>65</v>
      </c>
      <c r="C1420" s="12">
        <v>1223</v>
      </c>
      <c r="D1420" s="50">
        <f t="shared" si="33"/>
        <v>79495</v>
      </c>
      <c r="E1420" s="10"/>
      <c r="F1420" s="10"/>
    </row>
    <row r="1421" spans="1:7" ht="18.75" x14ac:dyDescent="0.3">
      <c r="A1421" s="2" t="s">
        <v>26</v>
      </c>
      <c r="B1421" s="12">
        <v>105</v>
      </c>
      <c r="C1421" s="12">
        <v>1223</v>
      </c>
      <c r="D1421" s="50">
        <f t="shared" si="33"/>
        <v>128415</v>
      </c>
      <c r="E1421" s="10"/>
      <c r="F1421" s="10"/>
    </row>
    <row r="1422" spans="1:7" ht="18.75" x14ac:dyDescent="0.3">
      <c r="A1422" s="2"/>
      <c r="B1422" s="15"/>
      <c r="C1422" s="3"/>
      <c r="D1422" s="50">
        <f t="shared" si="33"/>
        <v>0</v>
      </c>
      <c r="E1422" s="10"/>
      <c r="F1422" s="16"/>
    </row>
    <row r="1423" spans="1:7" ht="18.75" x14ac:dyDescent="0.3">
      <c r="A1423" s="2"/>
      <c r="B1423" s="15"/>
      <c r="C1423" s="3"/>
      <c r="D1423" s="50"/>
      <c r="E1423" s="10"/>
      <c r="F1423" s="17"/>
    </row>
    <row r="1424" spans="1:7" ht="18.75" x14ac:dyDescent="0.3">
      <c r="A1424" s="2"/>
      <c r="B1424" s="12"/>
      <c r="C1424" s="3"/>
      <c r="D1424" s="50"/>
      <c r="E1424" s="10"/>
      <c r="F1424" s="10"/>
    </row>
    <row r="1425" spans="1:6" ht="18.75" x14ac:dyDescent="0.3">
      <c r="A1425" s="2"/>
      <c r="B1425" s="12"/>
      <c r="C1425" s="3"/>
      <c r="D1425" s="50"/>
      <c r="E1425" s="10"/>
      <c r="F1425" s="10"/>
    </row>
    <row r="1426" spans="1:6" ht="18.75" x14ac:dyDescent="0.3">
      <c r="A1426" s="18"/>
      <c r="B1426" s="19"/>
      <c r="C1426" s="20"/>
      <c r="D1426" s="13"/>
      <c r="E1426" s="10"/>
      <c r="F1426" s="10"/>
    </row>
    <row r="1427" spans="1:6" ht="18.75" x14ac:dyDescent="0.3">
      <c r="A1427" s="1" t="s">
        <v>10</v>
      </c>
      <c r="B1427" s="1" t="s">
        <v>11</v>
      </c>
      <c r="C1427" s="1" t="s">
        <v>12</v>
      </c>
      <c r="D1427" s="1" t="s">
        <v>13</v>
      </c>
      <c r="E1427" s="1" t="s">
        <v>14</v>
      </c>
      <c r="F1427" s="10"/>
    </row>
    <row r="1428" spans="1:6" ht="18.75" x14ac:dyDescent="0.3">
      <c r="A1428" s="3" t="s">
        <v>771</v>
      </c>
      <c r="B1428" s="101" t="s">
        <v>24</v>
      </c>
      <c r="C1428" s="3">
        <v>1223</v>
      </c>
      <c r="D1428" s="58">
        <v>83164</v>
      </c>
      <c r="E1428" s="3"/>
      <c r="F1428" s="10"/>
    </row>
    <row r="1429" spans="1:6" ht="18.75" x14ac:dyDescent="0.3">
      <c r="A1429" s="3" t="s">
        <v>201</v>
      </c>
      <c r="B1429" s="101" t="s">
        <v>792</v>
      </c>
      <c r="C1429" s="3">
        <v>559</v>
      </c>
      <c r="D1429" s="58">
        <v>44720</v>
      </c>
      <c r="E1429" s="5"/>
      <c r="F1429" s="10"/>
    </row>
    <row r="1430" spans="1:6" ht="18.75" x14ac:dyDescent="0.3">
      <c r="A1430" s="3" t="s">
        <v>119</v>
      </c>
      <c r="B1430" s="101" t="s">
        <v>881</v>
      </c>
      <c r="C1430" s="3">
        <v>1223</v>
      </c>
      <c r="D1430" s="58">
        <v>67265</v>
      </c>
      <c r="E1430" s="5"/>
      <c r="F1430" s="10"/>
    </row>
    <row r="1431" spans="1:6" ht="18.75" x14ac:dyDescent="0.3">
      <c r="A1431" s="3" t="s">
        <v>778</v>
      </c>
      <c r="B1431" s="101" t="s">
        <v>843</v>
      </c>
      <c r="C1431" s="5">
        <v>1223</v>
      </c>
      <c r="D1431" s="58">
        <v>79495</v>
      </c>
      <c r="E1431" s="3"/>
      <c r="F1431" s="10"/>
    </row>
    <row r="1432" spans="1:6" ht="18.75" x14ac:dyDescent="0.3">
      <c r="A1432" s="6" t="s">
        <v>783</v>
      </c>
      <c r="B1432" s="101" t="s">
        <v>792</v>
      </c>
      <c r="C1432" s="3">
        <v>664</v>
      </c>
      <c r="D1432" s="58">
        <v>53120</v>
      </c>
      <c r="E1432" s="5"/>
      <c r="F1432" s="10"/>
    </row>
    <row r="1433" spans="1:6" ht="18.75" x14ac:dyDescent="0.3">
      <c r="A1433" s="3" t="s">
        <v>783</v>
      </c>
      <c r="B1433" s="101" t="s">
        <v>789</v>
      </c>
      <c r="C1433" s="3">
        <v>1223</v>
      </c>
      <c r="D1433" s="58">
        <v>73380</v>
      </c>
      <c r="E1433" s="5"/>
      <c r="F1433" s="10"/>
    </row>
    <row r="1434" spans="1:6" ht="18.75" x14ac:dyDescent="0.3">
      <c r="A1434" s="3" t="s">
        <v>783</v>
      </c>
      <c r="B1434" s="101" t="s">
        <v>790</v>
      </c>
      <c r="C1434" s="3">
        <v>1223</v>
      </c>
      <c r="D1434" s="58">
        <v>52589</v>
      </c>
      <c r="E1434" s="5"/>
      <c r="F1434" s="10"/>
    </row>
    <row r="1435" spans="1:6" ht="18.75" x14ac:dyDescent="0.3">
      <c r="A1435" s="3" t="s">
        <v>685</v>
      </c>
      <c r="B1435" s="101" t="s">
        <v>41</v>
      </c>
      <c r="C1435" s="3">
        <v>1223</v>
      </c>
      <c r="D1435" s="58">
        <v>128415</v>
      </c>
      <c r="E1435" s="3"/>
      <c r="F1435" s="10"/>
    </row>
    <row r="1436" spans="1:6" ht="18.75" x14ac:dyDescent="0.3">
      <c r="A1436" s="3"/>
      <c r="B1436" s="101" t="s">
        <v>793</v>
      </c>
      <c r="C1436" s="3">
        <v>1223</v>
      </c>
      <c r="D1436" s="58">
        <v>78272</v>
      </c>
      <c r="E1436" s="3"/>
      <c r="F1436" s="10"/>
    </row>
    <row r="1437" spans="1:6" ht="18.75" x14ac:dyDescent="0.3">
      <c r="A1437" s="3"/>
      <c r="B1437" s="4"/>
      <c r="C1437" s="3"/>
      <c r="D1437" s="58"/>
      <c r="E1437" s="3"/>
      <c r="F1437" s="10"/>
    </row>
    <row r="1438" spans="1:6" ht="18.75" x14ac:dyDescent="0.3">
      <c r="A1438" s="3"/>
      <c r="B1438" s="4"/>
      <c r="C1438" s="3"/>
      <c r="D1438" s="58"/>
      <c r="E1438" s="3"/>
      <c r="F1438" s="10"/>
    </row>
    <row r="1439" spans="1:6" ht="18.75" x14ac:dyDescent="0.3">
      <c r="A1439" s="3"/>
      <c r="B1439" s="4"/>
      <c r="C1439" s="3"/>
      <c r="D1439" s="58"/>
      <c r="E1439" s="3"/>
      <c r="F1439" s="10"/>
    </row>
    <row r="1440" spans="1:6" ht="18.75" x14ac:dyDescent="0.3">
      <c r="A1440" s="3"/>
      <c r="B1440" s="4"/>
      <c r="C1440" s="3"/>
      <c r="D1440" s="5"/>
      <c r="E1440" s="3" t="s">
        <v>249</v>
      </c>
      <c r="F1440" s="10"/>
    </row>
    <row r="1441" spans="1:7" ht="18.75" x14ac:dyDescent="0.3">
      <c r="A1441" s="3"/>
      <c r="B1441" s="4"/>
      <c r="C1441" s="3"/>
      <c r="D1441" s="5"/>
      <c r="E1441" s="3"/>
      <c r="F1441" s="10"/>
    </row>
    <row r="1442" spans="1:7" ht="18.75" x14ac:dyDescent="0.3">
      <c r="A1442" s="3"/>
      <c r="B1442" s="4"/>
      <c r="C1442" s="3"/>
      <c r="D1442" s="5"/>
      <c r="E1442" s="3"/>
      <c r="F1442" s="10"/>
    </row>
    <row r="1443" spans="1:7" ht="18.75" x14ac:dyDescent="0.3">
      <c r="A1443" s="3"/>
      <c r="B1443" s="4"/>
      <c r="C1443" s="5"/>
      <c r="D1443" s="5"/>
      <c r="E1443" s="3"/>
      <c r="F1443" s="10"/>
    </row>
    <row r="1444" spans="1:7" ht="18.75" x14ac:dyDescent="0.3">
      <c r="A1444" s="3"/>
      <c r="B1444" s="4"/>
      <c r="C1444" s="5"/>
      <c r="D1444" s="5"/>
      <c r="E1444" s="3"/>
    </row>
    <row r="1445" spans="1:7" ht="18.75" x14ac:dyDescent="0.3">
      <c r="A1445" s="3"/>
      <c r="B1445" s="4"/>
      <c r="C1445" s="5"/>
      <c r="D1445" s="5"/>
      <c r="E1445" s="3"/>
    </row>
    <row r="1446" spans="1:7" ht="18.75" x14ac:dyDescent="0.3">
      <c r="A1446" s="3"/>
      <c r="B1446" s="4"/>
      <c r="C1446" s="5"/>
      <c r="D1446" s="5"/>
      <c r="E1446" s="3"/>
    </row>
    <row r="1447" spans="1:7" ht="18.75" x14ac:dyDescent="0.3">
      <c r="A1447" s="3"/>
      <c r="B1447" s="4"/>
      <c r="C1447" s="5"/>
      <c r="D1447" s="5"/>
      <c r="E1447" s="3"/>
    </row>
    <row r="1448" spans="1:7" ht="18.75" x14ac:dyDescent="0.3">
      <c r="A1448" s="3"/>
      <c r="B1448" s="4"/>
      <c r="C1448" s="5"/>
      <c r="D1448" s="5"/>
      <c r="E1448" s="3"/>
    </row>
    <row r="1449" spans="1:7" ht="18.75" x14ac:dyDescent="0.3">
      <c r="A1449" s="3"/>
      <c r="B1449" s="4"/>
      <c r="C1449" s="5"/>
      <c r="D1449" s="5"/>
      <c r="E1449" s="37"/>
    </row>
    <row r="1456" spans="1:7" ht="18.75" x14ac:dyDescent="0.3">
      <c r="A1456" s="35" t="s">
        <v>0</v>
      </c>
      <c r="B1456" s="35" t="s">
        <v>1</v>
      </c>
      <c r="C1456" s="35" t="s">
        <v>2</v>
      </c>
      <c r="D1456" s="35" t="s">
        <v>3</v>
      </c>
      <c r="E1456" s="35" t="s">
        <v>4</v>
      </c>
      <c r="F1456" s="35" t="s">
        <v>5</v>
      </c>
      <c r="G1456" s="35" t="s">
        <v>6</v>
      </c>
    </row>
    <row r="1457" spans="1:7" ht="18.75" x14ac:dyDescent="0.3">
      <c r="A1457" s="22">
        <v>2100</v>
      </c>
      <c r="B1457" s="22" t="s">
        <v>780</v>
      </c>
      <c r="C1457" s="23" t="s">
        <v>882</v>
      </c>
      <c r="D1457" s="24">
        <v>946</v>
      </c>
      <c r="E1457" s="22">
        <v>900</v>
      </c>
      <c r="F1457" s="25" t="s">
        <v>883</v>
      </c>
      <c r="G1457" s="26">
        <f>D1457*E1457</f>
        <v>851400</v>
      </c>
    </row>
    <row r="1458" spans="1:7" ht="18.75" x14ac:dyDescent="0.3">
      <c r="A1458" s="1" t="s">
        <v>7</v>
      </c>
      <c r="B1458" s="7">
        <v>5.4</v>
      </c>
      <c r="C1458" s="48" t="s">
        <v>3</v>
      </c>
      <c r="D1458" s="48" t="s">
        <v>8</v>
      </c>
      <c r="E1458" s="46">
        <v>510840</v>
      </c>
      <c r="F1458" s="10"/>
      <c r="G1458" s="11">
        <v>340560</v>
      </c>
    </row>
    <row r="1459" spans="1:7" ht="18.75" x14ac:dyDescent="0.3">
      <c r="A1459" s="2" t="s">
        <v>792</v>
      </c>
      <c r="B1459" s="12">
        <v>80</v>
      </c>
      <c r="C1459" s="12">
        <v>946</v>
      </c>
      <c r="D1459" s="50">
        <f t="shared" ref="D1459:D1467" si="34">B1459*C1459</f>
        <v>75680</v>
      </c>
      <c r="E1459" s="21">
        <v>0.6</v>
      </c>
      <c r="F1459" s="10"/>
      <c r="G1459" s="21">
        <v>0.4</v>
      </c>
    </row>
    <row r="1460" spans="1:7" ht="18.75" x14ac:dyDescent="0.3">
      <c r="A1460" s="2" t="s">
        <v>793</v>
      </c>
      <c r="B1460" s="12">
        <v>64</v>
      </c>
      <c r="C1460" s="12">
        <v>946</v>
      </c>
      <c r="D1460" s="50">
        <f t="shared" si="34"/>
        <v>60544</v>
      </c>
      <c r="E1460" s="10"/>
      <c r="F1460" s="10"/>
      <c r="G1460" s="10"/>
    </row>
    <row r="1461" spans="1:7" ht="18.75" x14ac:dyDescent="0.3">
      <c r="A1461" s="2" t="s">
        <v>24</v>
      </c>
      <c r="B1461" s="12">
        <v>68</v>
      </c>
      <c r="C1461" s="12">
        <v>946</v>
      </c>
      <c r="D1461" s="50">
        <f t="shared" si="34"/>
        <v>64328</v>
      </c>
      <c r="E1461" s="10"/>
      <c r="F1461" s="10"/>
      <c r="G1461" s="10"/>
    </row>
    <row r="1462" spans="1:7" ht="18.75" x14ac:dyDescent="0.3">
      <c r="A1462" s="2" t="s">
        <v>817</v>
      </c>
      <c r="B1462" s="12">
        <v>55</v>
      </c>
      <c r="C1462" s="12">
        <v>946</v>
      </c>
      <c r="D1462" s="50">
        <f t="shared" si="34"/>
        <v>52030</v>
      </c>
      <c r="E1462" s="10"/>
      <c r="F1462" s="10"/>
      <c r="G1462" s="10"/>
    </row>
    <row r="1463" spans="1:7" ht="18.75" x14ac:dyDescent="0.3">
      <c r="A1463" s="2" t="s">
        <v>818</v>
      </c>
      <c r="B1463" s="12">
        <v>60</v>
      </c>
      <c r="C1463" s="12">
        <v>946</v>
      </c>
      <c r="D1463" s="50">
        <f t="shared" si="34"/>
        <v>56760</v>
      </c>
      <c r="E1463" s="10"/>
      <c r="F1463" s="10"/>
      <c r="G1463" s="14">
        <f>E1458-D1473-D1474-D1475-D1476-D1477-D1478-D1479-D1480-D1481-D1482-D1483-D1484-D1485-D1486-D1487-D1488-D1489-D1490-D1491-D1492-D1493-D1494-D1495-D1495</f>
        <v>0</v>
      </c>
    </row>
    <row r="1464" spans="1:7" ht="18.75" x14ac:dyDescent="0.3">
      <c r="A1464" s="2" t="s">
        <v>880</v>
      </c>
      <c r="B1464" s="12">
        <v>43</v>
      </c>
      <c r="C1464" s="12">
        <v>946</v>
      </c>
      <c r="D1464" s="50">
        <f t="shared" si="34"/>
        <v>40678</v>
      </c>
      <c r="E1464" s="10"/>
      <c r="F1464" s="10"/>
      <c r="G1464" s="10"/>
    </row>
    <row r="1465" spans="1:7" ht="18.75" x14ac:dyDescent="0.3">
      <c r="A1465" s="2" t="s">
        <v>838</v>
      </c>
      <c r="B1465" s="12">
        <v>65</v>
      </c>
      <c r="C1465" s="12">
        <v>946</v>
      </c>
      <c r="D1465" s="50">
        <f t="shared" si="34"/>
        <v>61490</v>
      </c>
      <c r="E1465" s="10"/>
      <c r="F1465" s="10"/>
    </row>
    <row r="1466" spans="1:7" ht="18.75" x14ac:dyDescent="0.3">
      <c r="A1466" s="2" t="s">
        <v>26</v>
      </c>
      <c r="B1466" s="12">
        <v>105</v>
      </c>
      <c r="C1466" s="12">
        <v>946</v>
      </c>
      <c r="D1466" s="50">
        <f t="shared" si="34"/>
        <v>99330</v>
      </c>
      <c r="E1466" s="10"/>
      <c r="F1466" s="10"/>
    </row>
    <row r="1467" spans="1:7" ht="18.75" x14ac:dyDescent="0.3">
      <c r="A1467" s="2"/>
      <c r="B1467" s="15"/>
      <c r="C1467" s="3"/>
      <c r="D1467" s="50">
        <f t="shared" si="34"/>
        <v>0</v>
      </c>
      <c r="E1467" s="10"/>
      <c r="F1467" s="16"/>
    </row>
    <row r="1468" spans="1:7" ht="18.75" x14ac:dyDescent="0.3">
      <c r="A1468" s="2"/>
      <c r="B1468" s="15"/>
      <c r="C1468" s="3"/>
      <c r="D1468" s="50"/>
      <c r="E1468" s="10"/>
      <c r="F1468" s="17"/>
    </row>
    <row r="1469" spans="1:7" ht="18.75" x14ac:dyDescent="0.3">
      <c r="A1469" s="2"/>
      <c r="B1469" s="12"/>
      <c r="C1469" s="3"/>
      <c r="D1469" s="50"/>
      <c r="E1469" s="10"/>
      <c r="F1469" s="10"/>
    </row>
    <row r="1470" spans="1:7" ht="18.75" x14ac:dyDescent="0.3">
      <c r="A1470" s="2"/>
      <c r="B1470" s="12"/>
      <c r="C1470" s="3"/>
      <c r="D1470" s="50"/>
      <c r="E1470" s="10"/>
      <c r="F1470" s="10"/>
    </row>
    <row r="1471" spans="1:7" ht="18.75" x14ac:dyDescent="0.3">
      <c r="A1471" s="18"/>
      <c r="B1471" s="19"/>
      <c r="C1471" s="20"/>
      <c r="D1471" s="13"/>
      <c r="E1471" s="10"/>
      <c r="F1471" s="10"/>
    </row>
    <row r="1472" spans="1:7" ht="18.75" x14ac:dyDescent="0.3">
      <c r="A1472" s="1" t="s">
        <v>10</v>
      </c>
      <c r="B1472" s="1" t="s">
        <v>11</v>
      </c>
      <c r="C1472" s="1" t="s">
        <v>12</v>
      </c>
      <c r="D1472" s="1" t="s">
        <v>13</v>
      </c>
      <c r="E1472" s="1" t="s">
        <v>14</v>
      </c>
      <c r="F1472" s="10"/>
    </row>
    <row r="1473" spans="1:6" ht="18.75" x14ac:dyDescent="0.3">
      <c r="A1473" s="3" t="s">
        <v>16</v>
      </c>
      <c r="B1473" s="101" t="s">
        <v>792</v>
      </c>
      <c r="C1473" s="3">
        <v>946</v>
      </c>
      <c r="D1473" s="58">
        <v>75680</v>
      </c>
      <c r="E1473" s="3"/>
      <c r="F1473" s="10"/>
    </row>
    <row r="1474" spans="1:6" ht="18.75" x14ac:dyDescent="0.3">
      <c r="A1474" s="3" t="s">
        <v>771</v>
      </c>
      <c r="B1474" s="101" t="s">
        <v>61</v>
      </c>
      <c r="C1474" s="3">
        <v>946</v>
      </c>
      <c r="D1474" s="58">
        <v>64328</v>
      </c>
      <c r="E1474" s="5"/>
      <c r="F1474" s="10"/>
    </row>
    <row r="1475" spans="1:6" ht="18.75" x14ac:dyDescent="0.3">
      <c r="A1475" s="3" t="s">
        <v>119</v>
      </c>
      <c r="B1475" s="101" t="s">
        <v>817</v>
      </c>
      <c r="C1475" s="3">
        <v>946</v>
      </c>
      <c r="D1475" s="58">
        <v>52030</v>
      </c>
      <c r="E1475" s="5"/>
      <c r="F1475" s="10"/>
    </row>
    <row r="1476" spans="1:6" ht="18.75" x14ac:dyDescent="0.3">
      <c r="A1476" s="3" t="s">
        <v>778</v>
      </c>
      <c r="B1476" s="101" t="s">
        <v>843</v>
      </c>
      <c r="C1476" s="5">
        <v>946</v>
      </c>
      <c r="D1476" s="58">
        <v>61490</v>
      </c>
      <c r="E1476" s="3"/>
      <c r="F1476" s="10"/>
    </row>
    <row r="1477" spans="1:6" ht="18.75" x14ac:dyDescent="0.3">
      <c r="A1477" s="6" t="s">
        <v>42</v>
      </c>
      <c r="B1477" s="101" t="s">
        <v>848</v>
      </c>
      <c r="C1477" s="3">
        <v>946</v>
      </c>
      <c r="D1477" s="58">
        <v>60544</v>
      </c>
      <c r="E1477" s="5"/>
      <c r="F1477" s="10"/>
    </row>
    <row r="1478" spans="1:6" ht="18.75" x14ac:dyDescent="0.3">
      <c r="A1478" s="3" t="s">
        <v>783</v>
      </c>
      <c r="B1478" s="101" t="s">
        <v>790</v>
      </c>
      <c r="C1478" s="3">
        <v>946</v>
      </c>
      <c r="D1478" s="58">
        <v>40678</v>
      </c>
      <c r="E1478" s="5"/>
      <c r="F1478" s="10"/>
    </row>
    <row r="1479" spans="1:6" ht="18.75" x14ac:dyDescent="0.3">
      <c r="A1479" s="3" t="s">
        <v>783</v>
      </c>
      <c r="B1479" s="101" t="s">
        <v>818</v>
      </c>
      <c r="C1479" s="3">
        <v>946</v>
      </c>
      <c r="D1479" s="58">
        <v>56760</v>
      </c>
      <c r="E1479" s="5"/>
      <c r="F1479" s="10"/>
    </row>
    <row r="1480" spans="1:6" ht="18.75" x14ac:dyDescent="0.3">
      <c r="A1480" s="3" t="s">
        <v>842</v>
      </c>
      <c r="B1480" s="101" t="s">
        <v>26</v>
      </c>
      <c r="C1480" s="3">
        <v>946</v>
      </c>
      <c r="D1480" s="58">
        <v>99330</v>
      </c>
      <c r="E1480" s="3"/>
      <c r="F1480" s="10"/>
    </row>
    <row r="1481" spans="1:6" ht="18.75" x14ac:dyDescent="0.3">
      <c r="A1481" s="3"/>
      <c r="B1481" s="4"/>
      <c r="C1481" s="3"/>
      <c r="D1481" s="58"/>
      <c r="E1481" s="3"/>
      <c r="F1481" s="10"/>
    </row>
    <row r="1482" spans="1:6" ht="18.75" x14ac:dyDescent="0.3">
      <c r="A1482" s="3"/>
      <c r="B1482" s="4"/>
      <c r="C1482" s="3"/>
      <c r="D1482" s="58"/>
      <c r="E1482" s="3"/>
      <c r="F1482" s="10"/>
    </row>
    <row r="1483" spans="1:6" ht="18.75" x14ac:dyDescent="0.3">
      <c r="A1483" s="3"/>
      <c r="B1483" s="4"/>
      <c r="C1483" s="3"/>
      <c r="D1483" s="58"/>
      <c r="E1483" s="3"/>
      <c r="F1483" s="10"/>
    </row>
    <row r="1484" spans="1:6" ht="18.75" x14ac:dyDescent="0.3">
      <c r="A1484" s="3"/>
      <c r="B1484" s="4"/>
      <c r="C1484" s="3"/>
      <c r="D1484" s="58"/>
      <c r="E1484" s="3"/>
      <c r="F1484" s="10"/>
    </row>
    <row r="1485" spans="1:6" ht="18.75" x14ac:dyDescent="0.3">
      <c r="A1485" s="3"/>
      <c r="B1485" s="4"/>
      <c r="C1485" s="3"/>
      <c r="D1485" s="5"/>
      <c r="E1485" s="3" t="s">
        <v>249</v>
      </c>
      <c r="F1485" s="10"/>
    </row>
    <row r="1486" spans="1:6" ht="18.75" x14ac:dyDescent="0.3">
      <c r="A1486" s="3"/>
      <c r="B1486" s="4"/>
      <c r="C1486" s="3"/>
      <c r="D1486" s="5"/>
      <c r="E1486" s="3"/>
      <c r="F1486" s="10"/>
    </row>
    <row r="1487" spans="1:6" ht="18.75" x14ac:dyDescent="0.3">
      <c r="A1487" s="3"/>
      <c r="B1487" s="4"/>
      <c r="C1487" s="3"/>
      <c r="D1487" s="5"/>
      <c r="E1487" s="3"/>
      <c r="F1487" s="10"/>
    </row>
    <row r="1488" spans="1:6" ht="18.75" x14ac:dyDescent="0.3">
      <c r="A1488" s="3"/>
      <c r="B1488" s="4"/>
      <c r="C1488" s="5"/>
      <c r="D1488" s="5"/>
      <c r="E1488" s="3"/>
      <c r="F1488" s="10"/>
    </row>
    <row r="1489" spans="1:7" ht="18.75" x14ac:dyDescent="0.3">
      <c r="A1489" s="3"/>
      <c r="B1489" s="4"/>
      <c r="C1489" s="5"/>
      <c r="D1489" s="5"/>
      <c r="E1489" s="3"/>
    </row>
    <row r="1490" spans="1:7" ht="18.75" x14ac:dyDescent="0.3">
      <c r="A1490" s="3"/>
      <c r="B1490" s="4"/>
      <c r="C1490" s="5"/>
      <c r="D1490" s="5"/>
      <c r="E1490" s="3"/>
    </row>
    <row r="1491" spans="1:7" ht="18.75" x14ac:dyDescent="0.3">
      <c r="A1491" s="3"/>
      <c r="B1491" s="4"/>
      <c r="C1491" s="5"/>
      <c r="D1491" s="5"/>
      <c r="E1491" s="3"/>
    </row>
    <row r="1492" spans="1:7" ht="18.75" x14ac:dyDescent="0.3">
      <c r="A1492" s="3"/>
      <c r="B1492" s="4"/>
      <c r="C1492" s="5"/>
      <c r="D1492" s="5"/>
      <c r="E1492" s="3"/>
    </row>
    <row r="1493" spans="1:7" ht="18.75" x14ac:dyDescent="0.3">
      <c r="A1493" s="3"/>
      <c r="B1493" s="4"/>
      <c r="C1493" s="5"/>
      <c r="D1493" s="5"/>
      <c r="E1493" s="3"/>
    </row>
    <row r="1494" spans="1:7" ht="18.75" x14ac:dyDescent="0.3">
      <c r="A1494" s="3"/>
      <c r="B1494" s="4"/>
      <c r="C1494" s="5"/>
      <c r="D1494" s="5"/>
      <c r="E1494" s="37"/>
    </row>
    <row r="1500" spans="1:7" ht="18.75" x14ac:dyDescent="0.3">
      <c r="A1500" s="35" t="s">
        <v>0</v>
      </c>
      <c r="B1500" s="35" t="s">
        <v>1</v>
      </c>
      <c r="C1500" s="35" t="s">
        <v>2</v>
      </c>
      <c r="D1500" s="35" t="s">
        <v>3</v>
      </c>
      <c r="E1500" s="35" t="s">
        <v>4</v>
      </c>
      <c r="F1500" s="35" t="s">
        <v>5</v>
      </c>
      <c r="G1500" s="35" t="s">
        <v>6</v>
      </c>
    </row>
    <row r="1501" spans="1:7" ht="18.75" x14ac:dyDescent="0.3">
      <c r="A1501" s="22">
        <v>2954</v>
      </c>
      <c r="B1501" s="22" t="s">
        <v>780</v>
      </c>
      <c r="C1501" s="23" t="s">
        <v>884</v>
      </c>
      <c r="D1501" s="24">
        <v>1265</v>
      </c>
      <c r="E1501" s="22">
        <v>900</v>
      </c>
      <c r="F1501" s="25"/>
      <c r="G1501" s="26">
        <f>D1501*E1501</f>
        <v>1138500</v>
      </c>
    </row>
    <row r="1502" spans="1:7" ht="18.75" x14ac:dyDescent="0.3">
      <c r="A1502" s="1" t="s">
        <v>7</v>
      </c>
      <c r="B1502" s="7">
        <v>5.4</v>
      </c>
      <c r="C1502" s="48" t="s">
        <v>3</v>
      </c>
      <c r="D1502" s="48" t="s">
        <v>8</v>
      </c>
      <c r="E1502" s="46">
        <v>683100</v>
      </c>
      <c r="F1502" s="10"/>
      <c r="G1502" s="11">
        <v>455400</v>
      </c>
    </row>
    <row r="1503" spans="1:7" ht="18.75" x14ac:dyDescent="0.3">
      <c r="A1503" s="2" t="s">
        <v>72</v>
      </c>
      <c r="B1503" s="12">
        <v>89</v>
      </c>
      <c r="C1503" s="12">
        <v>1265</v>
      </c>
      <c r="D1503" s="50">
        <f t="shared" ref="D1503:D1511" si="35">B1503*C1503</f>
        <v>112585</v>
      </c>
      <c r="E1503" s="21">
        <v>0.6</v>
      </c>
      <c r="F1503" s="10"/>
      <c r="G1503" s="21">
        <v>0.4</v>
      </c>
    </row>
    <row r="1504" spans="1:7" ht="18.75" x14ac:dyDescent="0.3">
      <c r="A1504" s="2" t="s">
        <v>869</v>
      </c>
      <c r="B1504" s="12">
        <v>86</v>
      </c>
      <c r="C1504" s="12">
        <v>1265</v>
      </c>
      <c r="D1504" s="50">
        <f t="shared" si="35"/>
        <v>108790</v>
      </c>
      <c r="E1504" s="10"/>
      <c r="F1504" s="10"/>
      <c r="G1504" s="10"/>
    </row>
    <row r="1505" spans="1:10" ht="18.75" x14ac:dyDescent="0.3">
      <c r="A1505" s="2" t="s">
        <v>767</v>
      </c>
      <c r="B1505" s="12">
        <v>64</v>
      </c>
      <c r="C1505" s="12">
        <v>1265</v>
      </c>
      <c r="D1505" s="50">
        <f t="shared" si="35"/>
        <v>80960</v>
      </c>
      <c r="E1505" s="10"/>
      <c r="F1505" s="10"/>
      <c r="G1505" s="10"/>
    </row>
    <row r="1506" spans="1:10" ht="18.75" x14ac:dyDescent="0.3">
      <c r="A1506" s="2" t="s">
        <v>75</v>
      </c>
      <c r="B1506" s="12">
        <v>66</v>
      </c>
      <c r="C1506" s="12">
        <v>1265</v>
      </c>
      <c r="D1506" s="50">
        <f t="shared" si="35"/>
        <v>83490</v>
      </c>
      <c r="E1506" s="10"/>
      <c r="F1506" s="10"/>
      <c r="G1506" s="10"/>
    </row>
    <row r="1507" spans="1:10" ht="18.75" x14ac:dyDescent="0.3">
      <c r="A1507" s="2" t="s">
        <v>156</v>
      </c>
      <c r="B1507" s="12">
        <v>60</v>
      </c>
      <c r="C1507" s="12">
        <v>1265</v>
      </c>
      <c r="D1507" s="50">
        <f t="shared" si="35"/>
        <v>75900</v>
      </c>
      <c r="E1507" s="10"/>
      <c r="F1507" s="10"/>
      <c r="G1507" s="14">
        <f>E1502-D1517-D1518-D1519-D1520-D1521-D1522-D1523-D1524-D1525-D1526-D1527-D1528-D1529-D1530-D1531-D1532-D1533-D1534-D1535-D1536-D1537-D1538-D1539-D1539</f>
        <v>0</v>
      </c>
    </row>
    <row r="1508" spans="1:10" ht="18.75" x14ac:dyDescent="0.3">
      <c r="A1508" s="2" t="s">
        <v>49</v>
      </c>
      <c r="B1508" s="12">
        <v>58</v>
      </c>
      <c r="C1508" s="12">
        <v>1265</v>
      </c>
      <c r="D1508" s="50">
        <f t="shared" si="35"/>
        <v>73370</v>
      </c>
      <c r="E1508" s="10"/>
      <c r="F1508" s="10"/>
      <c r="G1508" s="10"/>
    </row>
    <row r="1509" spans="1:10" ht="18.75" x14ac:dyDescent="0.3">
      <c r="A1509" s="2" t="s">
        <v>53</v>
      </c>
      <c r="B1509" s="12">
        <v>43</v>
      </c>
      <c r="C1509" s="12">
        <v>1265</v>
      </c>
      <c r="D1509" s="50">
        <f t="shared" si="35"/>
        <v>54395</v>
      </c>
      <c r="E1509" s="10"/>
      <c r="F1509" s="10"/>
    </row>
    <row r="1510" spans="1:10" ht="18.75" x14ac:dyDescent="0.3">
      <c r="A1510" s="2" t="s">
        <v>26</v>
      </c>
      <c r="B1510" s="15">
        <v>74</v>
      </c>
      <c r="C1510" s="12">
        <v>1265</v>
      </c>
      <c r="D1510" s="50">
        <f t="shared" si="35"/>
        <v>93610</v>
      </c>
      <c r="E1510" s="10"/>
      <c r="F1510" s="10"/>
    </row>
    <row r="1511" spans="1:10" ht="18.75" x14ac:dyDescent="0.3">
      <c r="A1511" s="2"/>
      <c r="B1511" s="15"/>
      <c r="C1511" s="3"/>
      <c r="D1511" s="50">
        <f t="shared" si="35"/>
        <v>0</v>
      </c>
      <c r="E1511" s="10"/>
      <c r="F1511" s="16"/>
    </row>
    <row r="1512" spans="1:10" ht="18.75" x14ac:dyDescent="0.3">
      <c r="A1512" s="2"/>
      <c r="B1512" s="15"/>
      <c r="C1512" s="3"/>
      <c r="D1512" s="50"/>
      <c r="E1512" s="10"/>
      <c r="F1512" s="17"/>
    </row>
    <row r="1513" spans="1:10" ht="18.75" x14ac:dyDescent="0.3">
      <c r="A1513" s="2"/>
      <c r="B1513" s="12"/>
      <c r="C1513" s="3"/>
      <c r="D1513" s="50"/>
      <c r="E1513" s="10"/>
      <c r="F1513" s="10"/>
    </row>
    <row r="1514" spans="1:10" ht="18.75" x14ac:dyDescent="0.3">
      <c r="A1514" s="2"/>
      <c r="B1514" s="12"/>
      <c r="C1514" s="3"/>
      <c r="D1514" s="50"/>
      <c r="E1514" s="10"/>
      <c r="F1514" s="10"/>
    </row>
    <row r="1515" spans="1:10" ht="18.75" x14ac:dyDescent="0.3">
      <c r="A1515" s="18"/>
      <c r="B1515" s="19"/>
      <c r="C1515" s="20"/>
      <c r="D1515" s="13"/>
      <c r="E1515" s="10"/>
      <c r="F1515" s="10"/>
    </row>
    <row r="1516" spans="1:10" ht="18.75" x14ac:dyDescent="0.3">
      <c r="A1516" s="1" t="s">
        <v>10</v>
      </c>
      <c r="B1516" s="1" t="s">
        <v>11</v>
      </c>
      <c r="C1516" s="1" t="s">
        <v>12</v>
      </c>
      <c r="D1516" s="1" t="s">
        <v>13</v>
      </c>
      <c r="E1516" s="1" t="s">
        <v>14</v>
      </c>
      <c r="F1516" s="10"/>
    </row>
    <row r="1517" spans="1:10" ht="18.75" x14ac:dyDescent="0.3">
      <c r="A1517" s="3" t="s">
        <v>771</v>
      </c>
      <c r="B1517" s="101" t="s">
        <v>885</v>
      </c>
      <c r="C1517" s="3">
        <v>1265</v>
      </c>
      <c r="D1517" s="58">
        <v>80960</v>
      </c>
      <c r="E1517" s="3"/>
      <c r="F1517" s="10"/>
    </row>
    <row r="1518" spans="1:10" ht="18.75" x14ac:dyDescent="0.3">
      <c r="A1518" s="3" t="s">
        <v>771</v>
      </c>
      <c r="B1518" s="101" t="s">
        <v>774</v>
      </c>
      <c r="C1518" s="3">
        <v>1265</v>
      </c>
      <c r="D1518" s="58">
        <v>83490</v>
      </c>
      <c r="E1518" s="5"/>
      <c r="F1518" s="10"/>
    </row>
    <row r="1519" spans="1:10" ht="18.75" x14ac:dyDescent="0.3">
      <c r="A1519" s="3" t="s">
        <v>783</v>
      </c>
      <c r="B1519" s="101" t="s">
        <v>72</v>
      </c>
      <c r="C1519" s="3">
        <v>1265</v>
      </c>
      <c r="D1519" s="58">
        <v>112585</v>
      </c>
      <c r="E1519" s="5"/>
      <c r="F1519" s="132"/>
      <c r="G1519" s="133"/>
      <c r="H1519" s="133"/>
      <c r="I1519" s="133"/>
      <c r="J1519" s="133"/>
    </row>
    <row r="1520" spans="1:10" ht="18.75" x14ac:dyDescent="0.3">
      <c r="A1520" s="3" t="s">
        <v>27</v>
      </c>
      <c r="B1520" s="101" t="s">
        <v>886</v>
      </c>
      <c r="C1520" s="5">
        <v>1265</v>
      </c>
      <c r="D1520" s="58">
        <v>54395</v>
      </c>
      <c r="E1520" s="3"/>
      <c r="F1520" s="10"/>
    </row>
    <row r="1521" spans="1:6" ht="18.75" x14ac:dyDescent="0.3">
      <c r="A1521" s="6" t="s">
        <v>842</v>
      </c>
      <c r="B1521" s="101" t="s">
        <v>26</v>
      </c>
      <c r="C1521" s="3">
        <v>1265</v>
      </c>
      <c r="D1521" s="58">
        <v>93610</v>
      </c>
      <c r="E1521" s="5"/>
      <c r="F1521" s="10"/>
    </row>
    <row r="1522" spans="1:6" ht="18.75" x14ac:dyDescent="0.3">
      <c r="A1522" s="3" t="s">
        <v>796</v>
      </c>
      <c r="B1522" s="101" t="s">
        <v>52</v>
      </c>
      <c r="C1522" s="3">
        <v>1265</v>
      </c>
      <c r="D1522" s="58">
        <v>75900</v>
      </c>
      <c r="E1522" s="5"/>
      <c r="F1522" s="10"/>
    </row>
    <row r="1523" spans="1:6" ht="18.75" x14ac:dyDescent="0.3">
      <c r="A1523" s="3" t="s">
        <v>887</v>
      </c>
      <c r="B1523" s="101" t="s">
        <v>888</v>
      </c>
      <c r="C1523" s="3">
        <v>1265</v>
      </c>
      <c r="D1523" s="58">
        <v>108790</v>
      </c>
      <c r="E1523" s="5"/>
      <c r="F1523" s="10"/>
    </row>
    <row r="1524" spans="1:6" ht="18.75" x14ac:dyDescent="0.3">
      <c r="A1524" s="3" t="s">
        <v>27</v>
      </c>
      <c r="B1524" s="101" t="s">
        <v>49</v>
      </c>
      <c r="C1524" s="3">
        <v>1265</v>
      </c>
      <c r="D1524" s="58">
        <v>73370</v>
      </c>
      <c r="E1524" s="3"/>
      <c r="F1524" s="10"/>
    </row>
    <row r="1525" spans="1:6" ht="18.75" x14ac:dyDescent="0.3">
      <c r="A1525" s="3"/>
      <c r="B1525" s="4"/>
      <c r="C1525" s="3"/>
      <c r="D1525" s="58"/>
      <c r="E1525" s="3"/>
      <c r="F1525" s="10"/>
    </row>
    <row r="1526" spans="1:6" ht="18.75" x14ac:dyDescent="0.3">
      <c r="A1526" s="3"/>
      <c r="B1526" s="4"/>
      <c r="C1526" s="3"/>
      <c r="D1526" s="58"/>
      <c r="E1526" s="3"/>
      <c r="F1526" s="10"/>
    </row>
    <row r="1527" spans="1:6" ht="18.75" x14ac:dyDescent="0.3">
      <c r="A1527" s="3"/>
      <c r="B1527" s="4"/>
      <c r="C1527" s="3"/>
      <c r="D1527" s="58"/>
      <c r="E1527" s="3"/>
      <c r="F1527" s="10"/>
    </row>
    <row r="1528" spans="1:6" ht="18.75" x14ac:dyDescent="0.3">
      <c r="A1528" s="3"/>
      <c r="B1528" s="4"/>
      <c r="C1528" s="3"/>
      <c r="D1528" s="58"/>
      <c r="E1528" s="3"/>
      <c r="F1528" s="10"/>
    </row>
    <row r="1529" spans="1:6" ht="18.75" x14ac:dyDescent="0.3">
      <c r="A1529" s="3"/>
      <c r="B1529" s="4"/>
      <c r="C1529" s="3"/>
      <c r="D1529" s="5"/>
      <c r="E1529" s="3" t="s">
        <v>249</v>
      </c>
      <c r="F1529" s="10"/>
    </row>
    <row r="1530" spans="1:6" ht="18.75" x14ac:dyDescent="0.3">
      <c r="A1530" s="3"/>
      <c r="B1530" s="4"/>
      <c r="C1530" s="3"/>
      <c r="D1530" s="5"/>
      <c r="E1530" s="3"/>
      <c r="F1530" s="10"/>
    </row>
    <row r="1531" spans="1:6" ht="18.75" x14ac:dyDescent="0.3">
      <c r="A1531" s="3"/>
      <c r="B1531" s="4"/>
      <c r="C1531" s="3"/>
      <c r="D1531" s="5"/>
      <c r="E1531" s="3"/>
      <c r="F1531" s="10"/>
    </row>
    <row r="1532" spans="1:6" ht="18.75" x14ac:dyDescent="0.3">
      <c r="A1532" s="3"/>
      <c r="B1532" s="4"/>
      <c r="C1532" s="5"/>
      <c r="D1532" s="5"/>
      <c r="E1532" s="3"/>
      <c r="F1532" s="10"/>
    </row>
    <row r="1533" spans="1:6" ht="18.75" x14ac:dyDescent="0.3">
      <c r="A1533" s="3"/>
      <c r="B1533" s="4"/>
      <c r="C1533" s="5"/>
      <c r="D1533" s="5"/>
      <c r="E1533" s="3"/>
    </row>
    <row r="1534" spans="1:6" ht="18.75" x14ac:dyDescent="0.3">
      <c r="A1534" s="3"/>
      <c r="B1534" s="4"/>
      <c r="C1534" s="5"/>
      <c r="D1534" s="5"/>
      <c r="E1534" s="3"/>
    </row>
    <row r="1535" spans="1:6" ht="18.75" x14ac:dyDescent="0.3">
      <c r="A1535" s="3"/>
      <c r="B1535" s="4"/>
      <c r="C1535" s="5"/>
      <c r="D1535" s="5"/>
      <c r="E1535" s="3"/>
    </row>
    <row r="1536" spans="1:6" ht="18.75" x14ac:dyDescent="0.3">
      <c r="A1536" s="3"/>
      <c r="B1536" s="4"/>
      <c r="C1536" s="5"/>
      <c r="D1536" s="5"/>
      <c r="E1536" s="3"/>
    </row>
    <row r="1537" spans="1:7" ht="18.75" x14ac:dyDescent="0.3">
      <c r="A1537" s="3"/>
      <c r="B1537" s="4"/>
      <c r="C1537" s="5"/>
      <c r="D1537" s="5"/>
      <c r="E1537" s="3"/>
    </row>
    <row r="1538" spans="1:7" ht="18.75" x14ac:dyDescent="0.3">
      <c r="A1538" s="3"/>
      <c r="B1538" s="4"/>
      <c r="C1538" s="5"/>
      <c r="D1538" s="5"/>
      <c r="E1538" s="37"/>
    </row>
    <row r="1541" spans="1:7" x14ac:dyDescent="0.25">
      <c r="A1541" s="134" t="s">
        <v>890</v>
      </c>
      <c r="B1541" s="134"/>
      <c r="C1541" s="134"/>
    </row>
    <row r="1542" spans="1:7" x14ac:dyDescent="0.25">
      <c r="A1542" s="134"/>
      <c r="B1542" s="134"/>
      <c r="C1542" s="134"/>
    </row>
    <row r="1544" spans="1:7" ht="18.75" customHeight="1" x14ac:dyDescent="0.3">
      <c r="A1544" s="35" t="s">
        <v>0</v>
      </c>
      <c r="B1544" s="35" t="s">
        <v>1</v>
      </c>
      <c r="C1544" s="35" t="s">
        <v>2</v>
      </c>
      <c r="D1544" s="35" t="s">
        <v>3</v>
      </c>
      <c r="E1544" s="35" t="s">
        <v>4</v>
      </c>
      <c r="F1544" s="35" t="s">
        <v>5</v>
      </c>
      <c r="G1544" s="35" t="s">
        <v>6</v>
      </c>
    </row>
    <row r="1545" spans="1:7" ht="18.75" x14ac:dyDescent="0.3">
      <c r="A1545" s="22">
        <v>2962</v>
      </c>
      <c r="B1545" s="22" t="s">
        <v>780</v>
      </c>
      <c r="C1545" s="23" t="s">
        <v>925</v>
      </c>
      <c r="D1545" s="24">
        <v>2492</v>
      </c>
      <c r="E1545" s="22">
        <v>900</v>
      </c>
      <c r="F1545" s="25" t="s">
        <v>889</v>
      </c>
      <c r="G1545" s="26">
        <f>D1545*E1545</f>
        <v>2242800</v>
      </c>
    </row>
    <row r="1546" spans="1:7" ht="18.75" x14ac:dyDescent="0.3">
      <c r="A1546" s="1" t="s">
        <v>7</v>
      </c>
      <c r="B1546" s="7">
        <v>5.4</v>
      </c>
      <c r="C1546" s="48" t="s">
        <v>3</v>
      </c>
      <c r="D1546" s="48" t="s">
        <v>8</v>
      </c>
      <c r="E1546" s="46">
        <v>1345600</v>
      </c>
      <c r="F1546" s="10"/>
      <c r="G1546" s="11">
        <v>897120</v>
      </c>
    </row>
    <row r="1547" spans="1:7" ht="18.75" x14ac:dyDescent="0.3">
      <c r="A1547" s="2" t="s">
        <v>72</v>
      </c>
      <c r="B1547" s="12">
        <v>89</v>
      </c>
      <c r="C1547" s="12">
        <v>2492</v>
      </c>
      <c r="D1547" s="50">
        <f t="shared" ref="D1547:D1555" si="36">B1547*C1547</f>
        <v>221788</v>
      </c>
      <c r="E1547" s="21">
        <v>0.6</v>
      </c>
      <c r="F1547" s="10"/>
      <c r="G1547" s="21">
        <v>0.4</v>
      </c>
    </row>
    <row r="1548" spans="1:7" ht="18.75" x14ac:dyDescent="0.3">
      <c r="A1548" s="2" t="s">
        <v>869</v>
      </c>
      <c r="B1548" s="12">
        <v>86</v>
      </c>
      <c r="C1548" s="12">
        <v>2492</v>
      </c>
      <c r="D1548" s="50">
        <f t="shared" si="36"/>
        <v>214312</v>
      </c>
      <c r="E1548" s="10"/>
      <c r="F1548" s="10"/>
      <c r="G1548" s="10"/>
    </row>
    <row r="1549" spans="1:7" ht="18.75" x14ac:dyDescent="0.3">
      <c r="A1549" s="2" t="s">
        <v>767</v>
      </c>
      <c r="B1549" s="12">
        <v>64</v>
      </c>
      <c r="C1549" s="12">
        <v>2492</v>
      </c>
      <c r="D1549" s="50">
        <f t="shared" si="36"/>
        <v>159488</v>
      </c>
      <c r="E1549" s="10"/>
      <c r="F1549" s="10"/>
      <c r="G1549" s="10"/>
    </row>
    <row r="1550" spans="1:7" ht="18.75" x14ac:dyDescent="0.3">
      <c r="A1550" s="2" t="s">
        <v>75</v>
      </c>
      <c r="B1550" s="12">
        <v>66</v>
      </c>
      <c r="C1550" s="12">
        <v>2492</v>
      </c>
      <c r="D1550" s="50">
        <f t="shared" si="36"/>
        <v>164472</v>
      </c>
      <c r="E1550" s="10"/>
      <c r="F1550" s="10"/>
      <c r="G1550" s="10"/>
    </row>
    <row r="1551" spans="1:7" ht="18.75" x14ac:dyDescent="0.3">
      <c r="A1551" s="2" t="s">
        <v>156</v>
      </c>
      <c r="B1551" s="12">
        <v>60</v>
      </c>
      <c r="C1551" s="12">
        <v>2492</v>
      </c>
      <c r="D1551" s="50">
        <f t="shared" si="36"/>
        <v>149520</v>
      </c>
      <c r="E1551" s="10"/>
      <c r="F1551" s="10"/>
      <c r="G1551" s="14">
        <f>E1546-D1561-D1562-D1563-D1564-D1565-D1566-D1567-D1568-D1569-D1570-D1571-D1572-D1573-D1574-D1575-D1576-D1577-D1578-D1579-D1580-D1581-D1582-D1583-D1583</f>
        <v>0</v>
      </c>
    </row>
    <row r="1552" spans="1:7" ht="18.75" x14ac:dyDescent="0.3">
      <c r="A1552" s="2" t="s">
        <v>49</v>
      </c>
      <c r="B1552" s="12">
        <v>58</v>
      </c>
      <c r="C1552" s="12">
        <v>806</v>
      </c>
      <c r="D1552" s="50">
        <f t="shared" si="36"/>
        <v>46748</v>
      </c>
      <c r="E1552" s="10"/>
      <c r="F1552" s="10"/>
      <c r="G1552" s="10"/>
    </row>
    <row r="1553" spans="1:6" ht="18.75" x14ac:dyDescent="0.3">
      <c r="A1553" s="2" t="s">
        <v>53</v>
      </c>
      <c r="B1553" s="12">
        <v>43</v>
      </c>
      <c r="C1553" s="12">
        <v>2492</v>
      </c>
      <c r="D1553" s="50">
        <f t="shared" si="36"/>
        <v>107156</v>
      </c>
      <c r="E1553" s="10"/>
      <c r="F1553" s="10"/>
    </row>
    <row r="1554" spans="1:6" ht="18.75" x14ac:dyDescent="0.3">
      <c r="A1554" s="2" t="s">
        <v>26</v>
      </c>
      <c r="B1554" s="15">
        <v>74</v>
      </c>
      <c r="C1554" s="12">
        <v>2492</v>
      </c>
      <c r="D1554" s="50">
        <f t="shared" si="36"/>
        <v>184408</v>
      </c>
      <c r="E1554" s="10"/>
      <c r="F1554" s="10"/>
    </row>
    <row r="1555" spans="1:6" ht="18.75" x14ac:dyDescent="0.3">
      <c r="A1555" s="2"/>
      <c r="B1555" s="15"/>
      <c r="C1555" s="3"/>
      <c r="D1555" s="50">
        <f t="shared" si="36"/>
        <v>0</v>
      </c>
      <c r="E1555" s="10"/>
      <c r="F1555" s="16"/>
    </row>
    <row r="1556" spans="1:6" ht="18.75" x14ac:dyDescent="0.3">
      <c r="A1556" s="2"/>
      <c r="B1556" s="15"/>
      <c r="C1556" s="3"/>
      <c r="D1556" s="50"/>
      <c r="E1556" s="10"/>
      <c r="F1556" s="17"/>
    </row>
    <row r="1557" spans="1:6" ht="18.75" x14ac:dyDescent="0.3">
      <c r="A1557" s="2"/>
      <c r="B1557" s="12"/>
      <c r="C1557" s="3"/>
      <c r="D1557" s="50"/>
      <c r="E1557" s="10"/>
      <c r="F1557" s="10"/>
    </row>
    <row r="1558" spans="1:6" ht="18.75" x14ac:dyDescent="0.3">
      <c r="A1558" s="2"/>
      <c r="B1558" s="12"/>
      <c r="C1558" s="3"/>
      <c r="D1558" s="50"/>
      <c r="E1558" s="10"/>
      <c r="F1558" s="10"/>
    </row>
    <row r="1559" spans="1:6" ht="18.75" x14ac:dyDescent="0.3">
      <c r="A1559" s="18"/>
      <c r="B1559" s="19"/>
      <c r="C1559" s="20"/>
      <c r="D1559" s="13"/>
      <c r="E1559" s="10"/>
      <c r="F1559" s="10"/>
    </row>
    <row r="1560" spans="1:6" ht="18.75" x14ac:dyDescent="0.3">
      <c r="A1560" s="1" t="s">
        <v>10</v>
      </c>
      <c r="B1560" s="1" t="s">
        <v>11</v>
      </c>
      <c r="C1560" s="1" t="s">
        <v>12</v>
      </c>
      <c r="D1560" s="1" t="s">
        <v>13</v>
      </c>
      <c r="E1560" s="1" t="s">
        <v>14</v>
      </c>
      <c r="F1560" s="10"/>
    </row>
    <row r="1561" spans="1:6" ht="18.75" x14ac:dyDescent="0.3">
      <c r="A1561" s="3" t="s">
        <v>771</v>
      </c>
      <c r="B1561" s="101" t="s">
        <v>767</v>
      </c>
      <c r="C1561" s="3">
        <v>2492</v>
      </c>
      <c r="D1561" s="58">
        <v>159488</v>
      </c>
      <c r="E1561" s="3"/>
      <c r="F1561" s="10"/>
    </row>
    <row r="1562" spans="1:6" ht="18.75" x14ac:dyDescent="0.3">
      <c r="A1562" s="3" t="s">
        <v>771</v>
      </c>
      <c r="B1562" s="101" t="s">
        <v>774</v>
      </c>
      <c r="C1562" s="3">
        <v>2492</v>
      </c>
      <c r="D1562" s="58">
        <v>164472</v>
      </c>
      <c r="E1562" s="5"/>
      <c r="F1562" s="10"/>
    </row>
    <row r="1563" spans="1:6" ht="18.75" x14ac:dyDescent="0.3">
      <c r="A1563" s="3" t="s">
        <v>508</v>
      </c>
      <c r="B1563" s="101" t="s">
        <v>910</v>
      </c>
      <c r="C1563" s="3">
        <v>806</v>
      </c>
      <c r="D1563" s="58">
        <v>69316</v>
      </c>
      <c r="E1563" s="5"/>
      <c r="F1563" s="10"/>
    </row>
    <row r="1564" spans="1:6" ht="18.75" x14ac:dyDescent="0.3">
      <c r="A1564" s="3" t="s">
        <v>508</v>
      </c>
      <c r="B1564" s="101" t="s">
        <v>911</v>
      </c>
      <c r="C1564" s="5">
        <v>843</v>
      </c>
      <c r="D1564" s="58">
        <v>72498</v>
      </c>
      <c r="E1564" s="3"/>
      <c r="F1564" s="10"/>
    </row>
    <row r="1565" spans="1:6" ht="18.75" x14ac:dyDescent="0.3">
      <c r="A1565" s="6" t="s">
        <v>266</v>
      </c>
      <c r="B1565" s="101" t="s">
        <v>896</v>
      </c>
      <c r="C1565" s="3">
        <v>806</v>
      </c>
      <c r="D1565" s="58">
        <v>48360</v>
      </c>
      <c r="E1565" s="5"/>
      <c r="F1565" s="10"/>
    </row>
    <row r="1566" spans="1:6" ht="18.75" x14ac:dyDescent="0.3">
      <c r="A1566" s="3" t="s">
        <v>266</v>
      </c>
      <c r="B1566" s="101" t="s">
        <v>916</v>
      </c>
      <c r="C1566" s="3">
        <v>843</v>
      </c>
      <c r="D1566" s="58">
        <v>50580</v>
      </c>
      <c r="E1566" s="5"/>
      <c r="F1566" s="10"/>
    </row>
    <row r="1567" spans="1:6" ht="18.75" x14ac:dyDescent="0.3">
      <c r="A1567" s="3" t="s">
        <v>27</v>
      </c>
      <c r="B1567" s="101" t="s">
        <v>917</v>
      </c>
      <c r="C1567" s="3">
        <v>843</v>
      </c>
      <c r="D1567" s="58">
        <v>48894</v>
      </c>
      <c r="E1567" s="5"/>
      <c r="F1567" s="10"/>
    </row>
    <row r="1568" spans="1:6" ht="18.75" x14ac:dyDescent="0.3">
      <c r="A1568" s="3" t="s">
        <v>27</v>
      </c>
      <c r="B1568" s="101" t="s">
        <v>53</v>
      </c>
      <c r="C1568" s="3">
        <v>2492</v>
      </c>
      <c r="D1568" s="58">
        <v>107156</v>
      </c>
      <c r="E1568" s="3"/>
      <c r="F1568" s="10"/>
    </row>
    <row r="1569" spans="1:6" ht="18.75" x14ac:dyDescent="0.3">
      <c r="A1569" s="3" t="s">
        <v>201</v>
      </c>
      <c r="B1569" s="4" t="s">
        <v>807</v>
      </c>
      <c r="C1569" s="3">
        <v>843</v>
      </c>
      <c r="D1569" s="58">
        <v>48894</v>
      </c>
      <c r="E1569" s="3"/>
      <c r="F1569" s="10"/>
    </row>
    <row r="1570" spans="1:6" ht="18.75" x14ac:dyDescent="0.3">
      <c r="A1570" s="3" t="s">
        <v>201</v>
      </c>
      <c r="B1570" s="4" t="s">
        <v>892</v>
      </c>
      <c r="C1570" s="3">
        <v>843</v>
      </c>
      <c r="D1570" s="58">
        <v>72498</v>
      </c>
      <c r="E1570" s="3"/>
      <c r="F1570" s="10"/>
    </row>
    <row r="1571" spans="1:6" ht="18.75" x14ac:dyDescent="0.3">
      <c r="A1571" s="3" t="s">
        <v>778</v>
      </c>
      <c r="B1571" s="4" t="s">
        <v>921</v>
      </c>
      <c r="C1571" s="3">
        <v>843</v>
      </c>
      <c r="D1571" s="58">
        <v>50580</v>
      </c>
      <c r="E1571" s="3"/>
      <c r="F1571" s="10"/>
    </row>
    <row r="1572" spans="1:6" ht="18.75" x14ac:dyDescent="0.3">
      <c r="A1572" s="3" t="s">
        <v>783</v>
      </c>
      <c r="B1572" s="4" t="s">
        <v>800</v>
      </c>
      <c r="C1572" s="3">
        <v>806</v>
      </c>
      <c r="D1572" s="58">
        <v>71734</v>
      </c>
      <c r="E1572" s="3"/>
      <c r="F1572" s="10"/>
    </row>
    <row r="1573" spans="1:6" ht="18.75" x14ac:dyDescent="0.3">
      <c r="A1573" s="3" t="s">
        <v>783</v>
      </c>
      <c r="B1573" s="4" t="s">
        <v>922</v>
      </c>
      <c r="C1573" s="3">
        <v>843</v>
      </c>
      <c r="D1573" s="5">
        <v>75027</v>
      </c>
      <c r="E1573" s="3" t="s">
        <v>249</v>
      </c>
      <c r="F1573" s="10"/>
    </row>
    <row r="1574" spans="1:6" ht="18.75" x14ac:dyDescent="0.3">
      <c r="A1574" s="3" t="s">
        <v>119</v>
      </c>
      <c r="B1574" s="4" t="s">
        <v>806</v>
      </c>
      <c r="C1574" s="3">
        <v>843</v>
      </c>
      <c r="D1574" s="5">
        <v>75027</v>
      </c>
      <c r="E1574" s="3"/>
      <c r="F1574" s="10"/>
    </row>
    <row r="1575" spans="1:6" ht="18.75" x14ac:dyDescent="0.3">
      <c r="A1575" s="3" t="s">
        <v>685</v>
      </c>
      <c r="B1575" s="4" t="s">
        <v>923</v>
      </c>
      <c r="C1575" s="3">
        <v>2492</v>
      </c>
      <c r="D1575" s="5">
        <v>184408</v>
      </c>
      <c r="E1575" s="3"/>
      <c r="F1575" s="10"/>
    </row>
    <row r="1576" spans="1:6" ht="18.75" x14ac:dyDescent="0.3">
      <c r="A1576" s="3" t="s">
        <v>201</v>
      </c>
      <c r="B1576" s="4" t="s">
        <v>924</v>
      </c>
      <c r="C1576" s="5">
        <v>806</v>
      </c>
      <c r="D1576" s="5">
        <v>46668</v>
      </c>
      <c r="E1576" s="3"/>
      <c r="F1576" s="10"/>
    </row>
    <row r="1577" spans="1:6" ht="18.75" x14ac:dyDescent="0.3">
      <c r="A1577" s="3"/>
      <c r="B1577" s="4"/>
      <c r="C1577" s="5"/>
      <c r="D1577" s="5"/>
      <c r="E1577" s="3"/>
    </row>
    <row r="1578" spans="1:6" ht="18.75" x14ac:dyDescent="0.3">
      <c r="A1578" s="3"/>
      <c r="B1578" s="4"/>
      <c r="C1578" s="5"/>
      <c r="D1578" s="5"/>
      <c r="E1578" s="3"/>
    </row>
    <row r="1579" spans="1:6" ht="18.75" x14ac:dyDescent="0.3">
      <c r="A1579" s="3"/>
      <c r="B1579" s="4"/>
      <c r="C1579" s="5"/>
      <c r="D1579" s="5"/>
      <c r="E1579" s="3"/>
    </row>
    <row r="1580" spans="1:6" ht="18.75" x14ac:dyDescent="0.3">
      <c r="A1580" s="3"/>
      <c r="B1580" s="4"/>
      <c r="C1580" s="5"/>
      <c r="D1580" s="5"/>
      <c r="E1580" s="3"/>
    </row>
    <row r="1581" spans="1:6" ht="18.75" x14ac:dyDescent="0.3">
      <c r="A1581" s="3"/>
      <c r="B1581" s="4"/>
      <c r="C1581" s="5"/>
      <c r="D1581" s="5"/>
      <c r="E1581" s="3"/>
    </row>
    <row r="1582" spans="1:6" ht="18.75" x14ac:dyDescent="0.3">
      <c r="A1582" s="3"/>
      <c r="B1582" s="4"/>
      <c r="C1582" s="5"/>
      <c r="D1582" s="5"/>
      <c r="E1582" s="37"/>
    </row>
    <row r="1588" spans="1:7" ht="18.75" x14ac:dyDescent="0.3">
      <c r="A1588" s="35" t="s">
        <v>0</v>
      </c>
      <c r="B1588" s="35" t="s">
        <v>1</v>
      </c>
      <c r="C1588" s="35" t="s">
        <v>2</v>
      </c>
      <c r="D1588" s="35" t="s">
        <v>3</v>
      </c>
      <c r="E1588" s="35" t="s">
        <v>4</v>
      </c>
      <c r="F1588" s="35" t="s">
        <v>5</v>
      </c>
      <c r="G1588" s="35" t="s">
        <v>6</v>
      </c>
    </row>
    <row r="1589" spans="1:7" ht="18.75" x14ac:dyDescent="0.3">
      <c r="A1589" s="22">
        <v>2964</v>
      </c>
      <c r="B1589" s="22" t="s">
        <v>780</v>
      </c>
      <c r="C1589" s="23" t="s">
        <v>912</v>
      </c>
      <c r="D1589" s="24">
        <v>1650</v>
      </c>
      <c r="E1589" s="22">
        <v>900</v>
      </c>
      <c r="F1589" s="25" t="s">
        <v>904</v>
      </c>
      <c r="G1589" s="26">
        <f>D1589*E1589</f>
        <v>1485000</v>
      </c>
    </row>
    <row r="1590" spans="1:7" ht="18.75" x14ac:dyDescent="0.3">
      <c r="A1590" s="1" t="s">
        <v>7</v>
      </c>
      <c r="B1590" s="7">
        <v>5.4</v>
      </c>
      <c r="C1590" s="48" t="s">
        <v>3</v>
      </c>
      <c r="D1590" s="48" t="s">
        <v>8</v>
      </c>
      <c r="E1590" s="46">
        <v>891000</v>
      </c>
      <c r="F1590" s="10"/>
      <c r="G1590" s="11">
        <v>594000</v>
      </c>
    </row>
    <row r="1591" spans="1:7" ht="18.75" x14ac:dyDescent="0.3">
      <c r="A1591" s="2" t="s">
        <v>72</v>
      </c>
      <c r="B1591" s="12">
        <v>89</v>
      </c>
      <c r="C1591" s="12">
        <v>809</v>
      </c>
      <c r="D1591" s="50">
        <f t="shared" ref="D1591:D1599" si="37">B1591*C1591</f>
        <v>72001</v>
      </c>
      <c r="E1591" s="21">
        <v>0.6</v>
      </c>
      <c r="F1591" s="10"/>
      <c r="G1591" s="21">
        <v>0.4</v>
      </c>
    </row>
    <row r="1592" spans="1:7" ht="18.75" x14ac:dyDescent="0.3">
      <c r="A1592" s="2" t="s">
        <v>869</v>
      </c>
      <c r="B1592" s="12">
        <v>86</v>
      </c>
      <c r="C1592" s="12">
        <v>841</v>
      </c>
      <c r="D1592" s="50">
        <f t="shared" si="37"/>
        <v>72326</v>
      </c>
      <c r="E1592" s="10"/>
      <c r="F1592" s="10"/>
      <c r="G1592" s="10"/>
    </row>
    <row r="1593" spans="1:7" ht="18.75" x14ac:dyDescent="0.3">
      <c r="A1593" s="2" t="s">
        <v>767</v>
      </c>
      <c r="B1593" s="12">
        <v>64</v>
      </c>
      <c r="C1593" s="12">
        <v>1650</v>
      </c>
      <c r="D1593" s="50">
        <f t="shared" si="37"/>
        <v>105600</v>
      </c>
      <c r="E1593" s="10"/>
      <c r="F1593" s="10"/>
      <c r="G1593" s="10"/>
    </row>
    <row r="1594" spans="1:7" ht="18.75" x14ac:dyDescent="0.3">
      <c r="A1594" s="2" t="s">
        <v>75</v>
      </c>
      <c r="B1594" s="12">
        <v>66</v>
      </c>
      <c r="C1594" s="12">
        <v>1650</v>
      </c>
      <c r="D1594" s="50">
        <f t="shared" si="37"/>
        <v>108900</v>
      </c>
      <c r="E1594" s="10"/>
      <c r="F1594" s="10"/>
      <c r="G1594" s="10"/>
    </row>
    <row r="1595" spans="1:7" ht="18.75" x14ac:dyDescent="0.3">
      <c r="A1595" s="2" t="s">
        <v>156</v>
      </c>
      <c r="B1595" s="12">
        <v>60</v>
      </c>
      <c r="C1595" s="12">
        <v>809</v>
      </c>
      <c r="D1595" s="50">
        <f t="shared" si="37"/>
        <v>48540</v>
      </c>
      <c r="E1595" s="10"/>
      <c r="F1595" s="10"/>
      <c r="G1595" s="14">
        <f>E1590-D1605-D1606-D1607-D1608-D1609-D1610-D1611-D1612-D1613-D1614-D1615-D1616-D1617-D1618-D1619-D1620-D1621-D1622-D1623-D1624-D1625-D1626-D1627-D1627</f>
        <v>0</v>
      </c>
    </row>
    <row r="1596" spans="1:7" ht="18.75" x14ac:dyDescent="0.3">
      <c r="A1596" s="2" t="s">
        <v>49</v>
      </c>
      <c r="B1596" s="12">
        <v>58</v>
      </c>
      <c r="C1596" s="12">
        <v>841</v>
      </c>
      <c r="D1596" s="50">
        <f t="shared" si="37"/>
        <v>48778</v>
      </c>
      <c r="E1596" s="10"/>
      <c r="F1596" s="10"/>
      <c r="G1596" s="10"/>
    </row>
    <row r="1597" spans="1:7" ht="18.75" x14ac:dyDescent="0.3">
      <c r="A1597" s="2" t="s">
        <v>53</v>
      </c>
      <c r="B1597" s="12">
        <v>43</v>
      </c>
      <c r="C1597" s="12">
        <v>1650</v>
      </c>
      <c r="D1597" s="50">
        <f t="shared" si="37"/>
        <v>70950</v>
      </c>
      <c r="E1597" s="10"/>
      <c r="F1597" s="10"/>
    </row>
    <row r="1598" spans="1:7" ht="18.75" x14ac:dyDescent="0.3">
      <c r="A1598" s="2" t="s">
        <v>26</v>
      </c>
      <c r="B1598" s="15">
        <v>74</v>
      </c>
      <c r="C1598" s="12">
        <v>1650</v>
      </c>
      <c r="D1598" s="50">
        <f t="shared" si="37"/>
        <v>122100</v>
      </c>
      <c r="E1598" s="10"/>
      <c r="F1598" s="10"/>
    </row>
    <row r="1599" spans="1:7" ht="18.75" x14ac:dyDescent="0.3">
      <c r="A1599" s="2"/>
      <c r="B1599" s="15"/>
      <c r="C1599" s="3"/>
      <c r="D1599" s="50">
        <f t="shared" si="37"/>
        <v>0</v>
      </c>
      <c r="E1599" s="10"/>
      <c r="F1599" s="16"/>
    </row>
    <row r="1600" spans="1:7" ht="18.75" x14ac:dyDescent="0.3">
      <c r="A1600" s="2"/>
      <c r="B1600" s="15"/>
      <c r="C1600" s="3"/>
      <c r="D1600" s="50"/>
      <c r="E1600" s="10"/>
      <c r="F1600" s="17"/>
    </row>
    <row r="1601" spans="1:6" ht="18.75" x14ac:dyDescent="0.3">
      <c r="A1601" s="2"/>
      <c r="B1601" s="12"/>
      <c r="C1601" s="3"/>
      <c r="D1601" s="50"/>
      <c r="E1601" s="10"/>
      <c r="F1601" s="10"/>
    </row>
    <row r="1602" spans="1:6" ht="18.75" x14ac:dyDescent="0.3">
      <c r="A1602" s="2"/>
      <c r="B1602" s="12"/>
      <c r="C1602" s="3"/>
      <c r="D1602" s="50"/>
      <c r="E1602" s="10"/>
      <c r="F1602" s="10"/>
    </row>
    <row r="1603" spans="1:6" ht="18.75" x14ac:dyDescent="0.3">
      <c r="A1603" s="18"/>
      <c r="B1603" s="19"/>
      <c r="C1603" s="20"/>
      <c r="D1603" s="13"/>
      <c r="E1603" s="10"/>
      <c r="F1603" s="10"/>
    </row>
    <row r="1604" spans="1:6" ht="18.75" x14ac:dyDescent="0.3">
      <c r="A1604" s="1" t="s">
        <v>10</v>
      </c>
      <c r="B1604" s="1" t="s">
        <v>11</v>
      </c>
      <c r="C1604" s="1" t="s">
        <v>12</v>
      </c>
      <c r="D1604" s="1" t="s">
        <v>13</v>
      </c>
      <c r="E1604" s="1" t="s">
        <v>14</v>
      </c>
      <c r="F1604" s="10"/>
    </row>
    <row r="1605" spans="1:6" ht="18.75" x14ac:dyDescent="0.3">
      <c r="A1605" s="3" t="s">
        <v>508</v>
      </c>
      <c r="B1605" s="101" t="s">
        <v>913</v>
      </c>
      <c r="C1605" s="3">
        <v>809</v>
      </c>
      <c r="D1605" s="58">
        <v>69574</v>
      </c>
      <c r="E1605" s="3"/>
      <c r="F1605" s="10"/>
    </row>
    <row r="1606" spans="1:6" ht="18.75" x14ac:dyDescent="0.3">
      <c r="A1606" s="3" t="s">
        <v>508</v>
      </c>
      <c r="B1606" s="101" t="s">
        <v>914</v>
      </c>
      <c r="C1606" s="3">
        <v>841</v>
      </c>
      <c r="D1606" s="58">
        <v>74849</v>
      </c>
      <c r="E1606" s="5"/>
      <c r="F1606" s="10"/>
    </row>
    <row r="1607" spans="1:6" ht="18.75" x14ac:dyDescent="0.3">
      <c r="A1607" s="3" t="s">
        <v>771</v>
      </c>
      <c r="B1607" s="101" t="s">
        <v>915</v>
      </c>
      <c r="C1607" s="3">
        <v>1650</v>
      </c>
      <c r="D1607" s="58">
        <v>105600</v>
      </c>
      <c r="E1607" s="5"/>
      <c r="F1607" s="10"/>
    </row>
    <row r="1608" spans="1:6" ht="18.75" x14ac:dyDescent="0.3">
      <c r="A1608" s="3" t="s">
        <v>771</v>
      </c>
      <c r="B1608" s="101" t="s">
        <v>774</v>
      </c>
      <c r="C1608" s="5">
        <v>1650</v>
      </c>
      <c r="D1608" s="58">
        <v>108900</v>
      </c>
      <c r="E1608" s="3"/>
      <c r="F1608" s="10"/>
    </row>
    <row r="1609" spans="1:6" ht="18.75" x14ac:dyDescent="0.3">
      <c r="A1609" s="6" t="s">
        <v>27</v>
      </c>
      <c r="B1609" s="101" t="s">
        <v>53</v>
      </c>
      <c r="C1609" s="3">
        <v>1650</v>
      </c>
      <c r="D1609" s="58">
        <v>70950</v>
      </c>
      <c r="E1609" s="5"/>
      <c r="F1609" s="10"/>
    </row>
    <row r="1610" spans="1:6" ht="18.75" x14ac:dyDescent="0.3">
      <c r="A1610" s="3" t="s">
        <v>201</v>
      </c>
      <c r="B1610" s="101" t="s">
        <v>918</v>
      </c>
      <c r="C1610" s="3">
        <v>841</v>
      </c>
      <c r="D1610" s="58">
        <v>72326</v>
      </c>
      <c r="E1610" s="5"/>
      <c r="F1610" s="10"/>
    </row>
    <row r="1611" spans="1:6" ht="18.75" x14ac:dyDescent="0.3">
      <c r="A1611" s="3" t="s">
        <v>778</v>
      </c>
      <c r="B1611" s="101" t="s">
        <v>919</v>
      </c>
      <c r="C1611" s="3">
        <v>809</v>
      </c>
      <c r="D1611" s="58">
        <v>48540</v>
      </c>
      <c r="E1611" s="5"/>
      <c r="F1611" s="10"/>
    </row>
    <row r="1612" spans="1:6" ht="18.75" x14ac:dyDescent="0.3">
      <c r="A1612" s="3" t="s">
        <v>778</v>
      </c>
      <c r="B1612" s="101" t="s">
        <v>920</v>
      </c>
      <c r="C1612" s="3">
        <v>841</v>
      </c>
      <c r="D1612" s="58">
        <v>50460</v>
      </c>
      <c r="E1612" s="3"/>
      <c r="F1612" s="10"/>
    </row>
    <row r="1613" spans="1:6" ht="18.75" x14ac:dyDescent="0.3">
      <c r="A1613" s="3" t="s">
        <v>783</v>
      </c>
      <c r="B1613" s="4" t="s">
        <v>895</v>
      </c>
      <c r="C1613" s="3">
        <v>809</v>
      </c>
      <c r="D1613" s="58">
        <v>72001</v>
      </c>
      <c r="E1613" s="3"/>
      <c r="F1613" s="10"/>
    </row>
    <row r="1614" spans="1:6" ht="18.75" x14ac:dyDescent="0.3">
      <c r="A1614" s="3" t="s">
        <v>783</v>
      </c>
      <c r="B1614" s="4" t="s">
        <v>899</v>
      </c>
      <c r="C1614" s="3">
        <v>809</v>
      </c>
      <c r="D1614" s="58">
        <v>46922</v>
      </c>
      <c r="E1614" s="3"/>
      <c r="F1614" s="10"/>
    </row>
    <row r="1615" spans="1:6" ht="18.75" x14ac:dyDescent="0.3">
      <c r="A1615" s="3" t="s">
        <v>31</v>
      </c>
      <c r="B1615" s="4" t="s">
        <v>26</v>
      </c>
      <c r="C1615" s="3">
        <v>1650</v>
      </c>
      <c r="D1615" s="58">
        <v>122100</v>
      </c>
      <c r="E1615" s="3"/>
      <c r="F1615" s="10"/>
    </row>
    <row r="1616" spans="1:6" ht="18.75" x14ac:dyDescent="0.3">
      <c r="A1616" s="3" t="s">
        <v>27</v>
      </c>
      <c r="B1616" s="4" t="s">
        <v>876</v>
      </c>
      <c r="C1616" s="3">
        <v>841</v>
      </c>
      <c r="D1616" s="58">
        <v>48778</v>
      </c>
      <c r="E1616" s="3"/>
      <c r="F1616" s="10"/>
    </row>
    <row r="1617" spans="1:7" ht="18.75" x14ac:dyDescent="0.3">
      <c r="A1617" s="3"/>
      <c r="B1617" s="4"/>
      <c r="C1617" s="3"/>
      <c r="D1617" s="5"/>
      <c r="E1617" s="3" t="s">
        <v>249</v>
      </c>
      <c r="F1617" s="10"/>
    </row>
    <row r="1618" spans="1:7" ht="18.75" x14ac:dyDescent="0.3">
      <c r="A1618" s="3"/>
      <c r="B1618" s="4"/>
      <c r="C1618" s="3"/>
      <c r="D1618" s="5"/>
      <c r="E1618" s="3"/>
      <c r="F1618" s="10"/>
    </row>
    <row r="1619" spans="1:7" ht="18.75" x14ac:dyDescent="0.3">
      <c r="A1619" s="3"/>
      <c r="B1619" s="4"/>
      <c r="C1619" s="3"/>
      <c r="D1619" s="5"/>
      <c r="E1619" s="3"/>
      <c r="F1619" s="10"/>
    </row>
    <row r="1620" spans="1:7" ht="18.75" x14ac:dyDescent="0.3">
      <c r="A1620" s="3"/>
      <c r="B1620" s="4"/>
      <c r="C1620" s="5"/>
      <c r="D1620" s="5"/>
      <c r="E1620" s="3"/>
      <c r="F1620" s="10"/>
    </row>
    <row r="1621" spans="1:7" ht="18.75" x14ac:dyDescent="0.3">
      <c r="A1621" s="3"/>
      <c r="B1621" s="4"/>
      <c r="C1621" s="5"/>
      <c r="D1621" s="5"/>
      <c r="E1621" s="3"/>
    </row>
    <row r="1622" spans="1:7" ht="18.75" x14ac:dyDescent="0.3">
      <c r="A1622" s="3"/>
      <c r="B1622" s="4"/>
      <c r="C1622" s="5"/>
      <c r="D1622" s="5"/>
      <c r="E1622" s="3"/>
    </row>
    <row r="1623" spans="1:7" ht="18.75" x14ac:dyDescent="0.3">
      <c r="A1623" s="3"/>
      <c r="B1623" s="4"/>
      <c r="C1623" s="5"/>
      <c r="D1623" s="5"/>
      <c r="E1623" s="3"/>
    </row>
    <row r="1624" spans="1:7" ht="18.75" x14ac:dyDescent="0.3">
      <c r="A1624" s="3"/>
      <c r="B1624" s="4"/>
      <c r="C1624" s="5"/>
      <c r="D1624" s="5"/>
      <c r="E1624" s="3"/>
    </row>
    <row r="1625" spans="1:7" ht="18.75" x14ac:dyDescent="0.3">
      <c r="A1625" s="3"/>
      <c r="B1625" s="4"/>
      <c r="C1625" s="5"/>
      <c r="D1625" s="5"/>
      <c r="E1625" s="3"/>
    </row>
    <row r="1626" spans="1:7" ht="18.75" x14ac:dyDescent="0.3">
      <c r="A1626" s="3"/>
      <c r="B1626" s="4"/>
      <c r="C1626" s="5"/>
      <c r="D1626" s="5"/>
      <c r="E1626" s="37"/>
    </row>
    <row r="1632" spans="1:7" ht="18.75" x14ac:dyDescent="0.3">
      <c r="A1632" s="35" t="s">
        <v>0</v>
      </c>
      <c r="B1632" s="35" t="s">
        <v>1</v>
      </c>
      <c r="C1632" s="35" t="s">
        <v>2</v>
      </c>
      <c r="D1632" s="35" t="s">
        <v>3</v>
      </c>
      <c r="E1632" s="35" t="s">
        <v>4</v>
      </c>
      <c r="F1632" s="35" t="s">
        <v>5</v>
      </c>
      <c r="G1632" s="35" t="s">
        <v>6</v>
      </c>
    </row>
    <row r="1633" spans="1:7" ht="21" x14ac:dyDescent="0.35">
      <c r="A1633" s="22">
        <v>2974</v>
      </c>
      <c r="B1633" s="22" t="s">
        <v>780</v>
      </c>
      <c r="C1633" s="109" t="s">
        <v>926</v>
      </c>
      <c r="D1633" s="24">
        <v>1138</v>
      </c>
      <c r="E1633" s="22">
        <v>1500</v>
      </c>
      <c r="F1633" s="25" t="s">
        <v>219</v>
      </c>
      <c r="G1633" s="26">
        <f>D1633*E1633</f>
        <v>1707000</v>
      </c>
    </row>
    <row r="1634" spans="1:7" ht="18.75" x14ac:dyDescent="0.3">
      <c r="A1634" s="1" t="s">
        <v>7</v>
      </c>
      <c r="B1634" s="7">
        <v>9</v>
      </c>
      <c r="C1634" s="48" t="s">
        <v>3</v>
      </c>
      <c r="D1634" s="48" t="s">
        <v>8</v>
      </c>
      <c r="E1634" s="46">
        <v>1024200</v>
      </c>
      <c r="F1634" s="10"/>
      <c r="G1634" s="11">
        <v>682800</v>
      </c>
    </row>
    <row r="1635" spans="1:7" ht="18.75" x14ac:dyDescent="0.3">
      <c r="A1635" s="2" t="s">
        <v>486</v>
      </c>
      <c r="B1635" s="12">
        <v>60</v>
      </c>
      <c r="C1635" s="12">
        <v>1138</v>
      </c>
      <c r="D1635" s="50">
        <f t="shared" ref="D1635:D1644" si="38">B1635*C1635</f>
        <v>68280</v>
      </c>
      <c r="E1635" s="21">
        <v>0.6</v>
      </c>
      <c r="F1635" s="10"/>
      <c r="G1635" s="21">
        <v>0.4</v>
      </c>
    </row>
    <row r="1636" spans="1:7" ht="18.75" x14ac:dyDescent="0.3">
      <c r="A1636" s="2" t="s">
        <v>487</v>
      </c>
      <c r="B1636" s="12">
        <v>60</v>
      </c>
      <c r="C1636" s="12">
        <v>1138</v>
      </c>
      <c r="D1636" s="50">
        <f t="shared" si="38"/>
        <v>68280</v>
      </c>
      <c r="E1636" s="10"/>
      <c r="F1636" s="10"/>
      <c r="G1636" s="10"/>
    </row>
    <row r="1637" spans="1:7" ht="18.75" x14ac:dyDescent="0.3">
      <c r="A1637" s="2" t="s">
        <v>86</v>
      </c>
      <c r="B1637" s="12">
        <v>60</v>
      </c>
      <c r="C1637" s="12">
        <v>1138</v>
      </c>
      <c r="D1637" s="50">
        <f t="shared" si="38"/>
        <v>68280</v>
      </c>
      <c r="E1637" s="10"/>
      <c r="F1637" s="10"/>
      <c r="G1637" s="10"/>
    </row>
    <row r="1638" spans="1:7" ht="18.75" x14ac:dyDescent="0.3">
      <c r="A1638" s="2" t="s">
        <v>927</v>
      </c>
      <c r="B1638" s="12">
        <v>90</v>
      </c>
      <c r="C1638" s="12">
        <v>1138</v>
      </c>
      <c r="D1638" s="50">
        <f t="shared" si="38"/>
        <v>102420</v>
      </c>
      <c r="E1638" s="10"/>
      <c r="F1638" s="10"/>
      <c r="G1638" s="10"/>
    </row>
    <row r="1639" spans="1:7" ht="18.75" x14ac:dyDescent="0.3">
      <c r="A1639" s="2" t="s">
        <v>928</v>
      </c>
      <c r="B1639" s="12">
        <v>150</v>
      </c>
      <c r="C1639" s="12">
        <v>1138</v>
      </c>
      <c r="D1639" s="50">
        <f t="shared" si="38"/>
        <v>170700</v>
      </c>
      <c r="E1639" s="10"/>
      <c r="F1639" s="10"/>
      <c r="G1639" s="14">
        <f>E1634-D1649-D1650-D1651-D1652-D1653-D1654-D1655-D1656-D1657-D1658-D1659-D1660-D1661-D1662-D1663-D1664-D1665-D1666-D1667-D1668-D1669-D1670-D1671-D1671</f>
        <v>0</v>
      </c>
    </row>
    <row r="1640" spans="1:7" ht="18.75" x14ac:dyDescent="0.3">
      <c r="A1640" s="2" t="s">
        <v>488</v>
      </c>
      <c r="B1640" s="12">
        <v>90</v>
      </c>
      <c r="C1640" s="12">
        <v>1138</v>
      </c>
      <c r="D1640" s="50">
        <f t="shared" si="38"/>
        <v>102420</v>
      </c>
      <c r="E1640" s="10"/>
      <c r="F1640" s="10"/>
      <c r="G1640" s="10"/>
    </row>
    <row r="1641" spans="1:7" ht="18.75" x14ac:dyDescent="0.3">
      <c r="A1641" s="2" t="s">
        <v>132</v>
      </c>
      <c r="B1641" s="12">
        <v>180</v>
      </c>
      <c r="C1641" s="12">
        <v>1138</v>
      </c>
      <c r="D1641" s="50">
        <f t="shared" si="38"/>
        <v>204840</v>
      </c>
      <c r="E1641" s="10"/>
      <c r="F1641" s="10"/>
    </row>
    <row r="1642" spans="1:7" ht="18.75" x14ac:dyDescent="0.3">
      <c r="A1642" s="2" t="s">
        <v>131</v>
      </c>
      <c r="B1642" s="12">
        <v>43</v>
      </c>
      <c r="C1642" s="12">
        <v>1138</v>
      </c>
      <c r="D1642" s="50">
        <f t="shared" si="38"/>
        <v>48934</v>
      </c>
      <c r="E1642" s="10"/>
      <c r="F1642" s="10"/>
    </row>
    <row r="1643" spans="1:7" ht="18.75" x14ac:dyDescent="0.3">
      <c r="A1643" s="2" t="s">
        <v>61</v>
      </c>
      <c r="B1643" s="15">
        <v>90</v>
      </c>
      <c r="C1643" s="12">
        <v>1138</v>
      </c>
      <c r="D1643" s="50">
        <f t="shared" si="38"/>
        <v>102420</v>
      </c>
      <c r="E1643" s="10"/>
      <c r="F1643" s="16"/>
    </row>
    <row r="1644" spans="1:7" ht="18.75" x14ac:dyDescent="0.3">
      <c r="A1644" s="2" t="s">
        <v>67</v>
      </c>
      <c r="B1644" s="15">
        <v>77</v>
      </c>
      <c r="C1644" s="12">
        <v>1138</v>
      </c>
      <c r="D1644" s="50">
        <f t="shared" si="38"/>
        <v>87626</v>
      </c>
      <c r="E1644" s="10"/>
      <c r="F1644" s="17"/>
    </row>
    <row r="1645" spans="1:7" ht="18.75" x14ac:dyDescent="0.3">
      <c r="A1645" s="2"/>
      <c r="B1645" s="12"/>
      <c r="C1645" s="3"/>
      <c r="D1645" s="50"/>
      <c r="E1645" s="10"/>
      <c r="F1645" s="10"/>
    </row>
    <row r="1646" spans="1:7" ht="18.75" x14ac:dyDescent="0.3">
      <c r="A1646" s="2"/>
      <c r="B1646" s="12"/>
      <c r="C1646" s="3"/>
      <c r="D1646" s="50"/>
      <c r="E1646" s="10"/>
      <c r="F1646" s="10"/>
    </row>
    <row r="1647" spans="1:7" ht="18.75" x14ac:dyDescent="0.3">
      <c r="A1647" s="18"/>
      <c r="B1647" s="19"/>
      <c r="C1647" s="20"/>
      <c r="D1647" s="13"/>
      <c r="E1647" s="10"/>
      <c r="F1647" s="10"/>
    </row>
    <row r="1648" spans="1:7" ht="18.75" x14ac:dyDescent="0.3">
      <c r="A1648" s="1" t="s">
        <v>10</v>
      </c>
      <c r="B1648" s="1" t="s">
        <v>11</v>
      </c>
      <c r="C1648" s="1" t="s">
        <v>12</v>
      </c>
      <c r="D1648" s="1" t="s">
        <v>13</v>
      </c>
      <c r="E1648" s="1" t="s">
        <v>14</v>
      </c>
      <c r="F1648" s="10"/>
    </row>
    <row r="1649" spans="1:6" ht="18.75" x14ac:dyDescent="0.3">
      <c r="A1649" s="3" t="s">
        <v>15</v>
      </c>
      <c r="B1649" s="101" t="s">
        <v>486</v>
      </c>
      <c r="C1649" s="3">
        <v>1138</v>
      </c>
      <c r="D1649" s="58">
        <v>68280</v>
      </c>
      <c r="E1649" s="3"/>
      <c r="F1649" s="10"/>
    </row>
    <row r="1650" spans="1:6" ht="18.75" x14ac:dyDescent="0.3">
      <c r="A1650" s="3" t="s">
        <v>16</v>
      </c>
      <c r="B1650" s="101" t="s">
        <v>487</v>
      </c>
      <c r="C1650" s="3">
        <v>1138</v>
      </c>
      <c r="D1650" s="58">
        <v>68280</v>
      </c>
      <c r="E1650" s="5"/>
      <c r="F1650" s="10"/>
    </row>
    <row r="1651" spans="1:6" ht="18.75" x14ac:dyDescent="0.3">
      <c r="A1651" s="3" t="s">
        <v>104</v>
      </c>
      <c r="B1651" s="101" t="s">
        <v>86</v>
      </c>
      <c r="C1651" s="3">
        <v>1138</v>
      </c>
      <c r="D1651" s="58">
        <v>68280</v>
      </c>
      <c r="E1651" s="5"/>
      <c r="F1651" s="10"/>
    </row>
    <row r="1652" spans="1:6" ht="18.75" x14ac:dyDescent="0.3">
      <c r="A1652" s="3" t="s">
        <v>17</v>
      </c>
      <c r="B1652" s="101" t="s">
        <v>61</v>
      </c>
      <c r="C1652" s="5">
        <v>1138</v>
      </c>
      <c r="D1652" s="58">
        <v>102420</v>
      </c>
      <c r="E1652" s="3"/>
      <c r="F1652" s="10"/>
    </row>
    <row r="1653" spans="1:6" ht="18.75" x14ac:dyDescent="0.3">
      <c r="A1653" s="6" t="s">
        <v>113</v>
      </c>
      <c r="B1653" s="101" t="s">
        <v>928</v>
      </c>
      <c r="C1653" s="3">
        <v>1138</v>
      </c>
      <c r="D1653" s="58">
        <v>170700</v>
      </c>
      <c r="E1653" s="5"/>
      <c r="F1653" s="10"/>
    </row>
    <row r="1654" spans="1:6" ht="18.75" x14ac:dyDescent="0.3">
      <c r="A1654" s="3" t="s">
        <v>42</v>
      </c>
      <c r="B1654" s="101" t="s">
        <v>726</v>
      </c>
      <c r="C1654" s="3">
        <v>1138</v>
      </c>
      <c r="D1654" s="58">
        <v>102420</v>
      </c>
      <c r="E1654" s="5"/>
      <c r="F1654" s="10"/>
    </row>
    <row r="1655" spans="1:6" ht="18.75" x14ac:dyDescent="0.3">
      <c r="A1655" s="3" t="s">
        <v>379</v>
      </c>
      <c r="B1655" s="101" t="s">
        <v>132</v>
      </c>
      <c r="C1655" s="3">
        <v>1138</v>
      </c>
      <c r="D1655" s="58">
        <v>204840</v>
      </c>
      <c r="E1655" s="5"/>
      <c r="F1655" s="10"/>
    </row>
    <row r="1656" spans="1:6" ht="18.75" x14ac:dyDescent="0.3">
      <c r="A1656" s="3" t="s">
        <v>104</v>
      </c>
      <c r="B1656" s="101" t="s">
        <v>62</v>
      </c>
      <c r="C1656" s="3">
        <v>1138</v>
      </c>
      <c r="D1656" s="58">
        <v>48934</v>
      </c>
      <c r="E1656" s="3"/>
      <c r="F1656" s="10"/>
    </row>
    <row r="1657" spans="1:6" ht="18.75" x14ac:dyDescent="0.3">
      <c r="A1657" s="3" t="s">
        <v>67</v>
      </c>
      <c r="B1657" s="4"/>
      <c r="C1657" s="3" t="s">
        <v>67</v>
      </c>
      <c r="D1657" s="58">
        <v>87626</v>
      </c>
      <c r="E1657" s="3"/>
      <c r="F1657" s="10"/>
    </row>
    <row r="1658" spans="1:6" ht="18.75" x14ac:dyDescent="0.3">
      <c r="A1658" s="3" t="s">
        <v>15</v>
      </c>
      <c r="B1658" s="4" t="s">
        <v>209</v>
      </c>
      <c r="C1658" s="3">
        <v>1138</v>
      </c>
      <c r="D1658" s="58">
        <v>102420</v>
      </c>
      <c r="E1658" s="3"/>
      <c r="F1658" s="10"/>
    </row>
    <row r="1659" spans="1:6" ht="18.75" x14ac:dyDescent="0.3">
      <c r="A1659" s="3"/>
      <c r="B1659" s="4"/>
      <c r="C1659" s="3"/>
      <c r="D1659" s="58"/>
      <c r="E1659" s="3"/>
      <c r="F1659" s="10"/>
    </row>
    <row r="1660" spans="1:6" ht="18.75" x14ac:dyDescent="0.3">
      <c r="A1660" s="3"/>
      <c r="B1660" s="4"/>
      <c r="C1660" s="3"/>
      <c r="D1660" s="58"/>
      <c r="E1660" s="3"/>
      <c r="F1660" s="10"/>
    </row>
    <row r="1661" spans="1:6" ht="18.75" x14ac:dyDescent="0.3">
      <c r="A1661" s="3"/>
      <c r="B1661" s="4"/>
      <c r="C1661" s="3"/>
      <c r="D1661" s="5"/>
      <c r="E1661" s="3" t="s">
        <v>249</v>
      </c>
      <c r="F1661" s="10"/>
    </row>
    <row r="1662" spans="1:6" ht="18.75" x14ac:dyDescent="0.3">
      <c r="A1662" s="3"/>
      <c r="B1662" s="4"/>
      <c r="C1662" s="3"/>
      <c r="D1662" s="5"/>
      <c r="E1662" s="3"/>
      <c r="F1662" s="10"/>
    </row>
    <row r="1663" spans="1:6" ht="18.75" x14ac:dyDescent="0.3">
      <c r="A1663" s="3"/>
      <c r="B1663" s="4"/>
      <c r="C1663" s="3"/>
      <c r="D1663" s="5"/>
      <c r="E1663" s="3"/>
      <c r="F1663" s="10"/>
    </row>
    <row r="1664" spans="1:6" ht="18.75" x14ac:dyDescent="0.3">
      <c r="A1664" s="3"/>
      <c r="B1664" s="4"/>
      <c r="C1664" s="5"/>
      <c r="D1664" s="5"/>
      <c r="E1664" s="3"/>
      <c r="F1664" s="10"/>
    </row>
    <row r="1665" spans="1:7" ht="18.75" x14ac:dyDescent="0.3">
      <c r="A1665" s="3"/>
      <c r="B1665" s="4"/>
      <c r="C1665" s="5"/>
      <c r="D1665" s="5"/>
      <c r="E1665" s="3"/>
    </row>
    <row r="1666" spans="1:7" ht="18.75" x14ac:dyDescent="0.3">
      <c r="A1666" s="3"/>
      <c r="B1666" s="4"/>
      <c r="C1666" s="5"/>
      <c r="D1666" s="5"/>
      <c r="E1666" s="3"/>
    </row>
    <row r="1667" spans="1:7" ht="18.75" x14ac:dyDescent="0.3">
      <c r="A1667" s="3"/>
      <c r="B1667" s="4"/>
      <c r="C1667" s="5"/>
      <c r="D1667" s="5"/>
      <c r="E1667" s="3"/>
    </row>
    <row r="1668" spans="1:7" ht="18.75" x14ac:dyDescent="0.3">
      <c r="A1668" s="3"/>
      <c r="B1668" s="4"/>
      <c r="C1668" s="5"/>
      <c r="D1668" s="5"/>
      <c r="E1668" s="3"/>
    </row>
    <row r="1669" spans="1:7" ht="18.75" x14ac:dyDescent="0.3">
      <c r="A1669" s="3"/>
      <c r="B1669" s="4"/>
      <c r="C1669" s="5"/>
      <c r="D1669" s="5"/>
      <c r="E1669" s="3"/>
    </row>
    <row r="1670" spans="1:7" ht="18.75" x14ac:dyDescent="0.3">
      <c r="A1670" s="3"/>
      <c r="B1670" s="4"/>
      <c r="C1670" s="5"/>
      <c r="D1670" s="5"/>
      <c r="E1670" s="37"/>
    </row>
    <row r="1673" spans="1:7" x14ac:dyDescent="0.25">
      <c r="G1673" t="s">
        <v>931</v>
      </c>
    </row>
    <row r="1676" spans="1:7" ht="18.75" x14ac:dyDescent="0.3">
      <c r="A1676" s="35" t="s">
        <v>0</v>
      </c>
      <c r="B1676" s="35" t="s">
        <v>1</v>
      </c>
      <c r="C1676" s="35" t="s">
        <v>2</v>
      </c>
      <c r="D1676" s="35" t="s">
        <v>3</v>
      </c>
      <c r="E1676" s="35" t="s">
        <v>4</v>
      </c>
      <c r="F1676" s="35" t="s">
        <v>5</v>
      </c>
      <c r="G1676" s="35" t="s">
        <v>6</v>
      </c>
    </row>
    <row r="1677" spans="1:7" ht="18.75" x14ac:dyDescent="0.3">
      <c r="A1677" s="22">
        <v>2973</v>
      </c>
      <c r="B1677" s="22" t="s">
        <v>780</v>
      </c>
      <c r="C1677" s="23" t="s">
        <v>929</v>
      </c>
      <c r="D1677" s="24">
        <v>1138</v>
      </c>
      <c r="E1677" s="22">
        <v>1500</v>
      </c>
      <c r="F1677" s="25" t="s">
        <v>930</v>
      </c>
      <c r="G1677" s="26">
        <f>D1677*E1677</f>
        <v>1707000</v>
      </c>
    </row>
    <row r="1678" spans="1:7" ht="18.75" x14ac:dyDescent="0.3">
      <c r="A1678" s="1" t="s">
        <v>7</v>
      </c>
      <c r="B1678" s="7">
        <v>5.4</v>
      </c>
      <c r="C1678" s="48" t="s">
        <v>3</v>
      </c>
      <c r="D1678" s="48" t="s">
        <v>8</v>
      </c>
      <c r="E1678" s="46">
        <v>1024200</v>
      </c>
      <c r="F1678" s="10"/>
      <c r="G1678" s="11">
        <v>682800</v>
      </c>
    </row>
    <row r="1679" spans="1:7" ht="18.75" x14ac:dyDescent="0.3">
      <c r="A1679" s="2" t="s">
        <v>174</v>
      </c>
      <c r="B1679" s="12">
        <v>90</v>
      </c>
      <c r="C1679" s="12">
        <v>1138</v>
      </c>
      <c r="D1679" s="50">
        <f t="shared" ref="D1679:D1687" si="39">B1679*C1679</f>
        <v>102420</v>
      </c>
      <c r="E1679" s="21">
        <v>0.6</v>
      </c>
      <c r="F1679" s="10"/>
      <c r="G1679" s="21">
        <v>0.4</v>
      </c>
    </row>
    <row r="1680" spans="1:7" ht="18.75" x14ac:dyDescent="0.3">
      <c r="A1680" s="2" t="s">
        <v>498</v>
      </c>
      <c r="B1680" s="12">
        <v>90</v>
      </c>
      <c r="C1680" s="12">
        <v>1138</v>
      </c>
      <c r="D1680" s="50">
        <f t="shared" si="39"/>
        <v>102420</v>
      </c>
      <c r="E1680" s="10"/>
      <c r="F1680" s="10"/>
      <c r="G1680" s="10"/>
    </row>
    <row r="1681" spans="1:7" ht="18.75" x14ac:dyDescent="0.3">
      <c r="A1681" s="2" t="s">
        <v>209</v>
      </c>
      <c r="B1681" s="12">
        <v>90</v>
      </c>
      <c r="C1681" s="12">
        <v>1138</v>
      </c>
      <c r="D1681" s="50">
        <f t="shared" si="39"/>
        <v>102420</v>
      </c>
      <c r="E1681" s="10"/>
      <c r="F1681" s="10"/>
      <c r="G1681" s="10"/>
    </row>
    <row r="1682" spans="1:7" ht="18.75" x14ac:dyDescent="0.3">
      <c r="A1682" s="2" t="s">
        <v>460</v>
      </c>
      <c r="B1682" s="12">
        <v>200</v>
      </c>
      <c r="C1682" s="12">
        <v>1138</v>
      </c>
      <c r="D1682" s="50">
        <f t="shared" si="39"/>
        <v>227600</v>
      </c>
      <c r="E1682" s="10"/>
      <c r="F1682" s="10"/>
      <c r="G1682" s="10"/>
    </row>
    <row r="1683" spans="1:7" ht="18.75" x14ac:dyDescent="0.3">
      <c r="A1683" s="2" t="s">
        <v>120</v>
      </c>
      <c r="B1683" s="12">
        <v>80</v>
      </c>
      <c r="C1683" s="12">
        <v>1138</v>
      </c>
      <c r="D1683" s="50">
        <f t="shared" si="39"/>
        <v>91040</v>
      </c>
      <c r="E1683" s="10"/>
      <c r="F1683" s="10"/>
      <c r="G1683" s="14">
        <f>E1678-D1693-D1694-D1695-D1696-D1697-D1698-D1699-D1700-D1701-D1702-D1703-D1704-D1705-D1706-D1707-D1708-D1709-D1710-D1711-D1712-D1713-D1714-D1715-D1715</f>
        <v>0</v>
      </c>
    </row>
    <row r="1684" spans="1:7" ht="18.75" x14ac:dyDescent="0.3">
      <c r="A1684" s="2" t="s">
        <v>70</v>
      </c>
      <c r="B1684" s="12">
        <v>80</v>
      </c>
      <c r="C1684" s="12">
        <v>1138</v>
      </c>
      <c r="D1684" s="50">
        <f t="shared" si="39"/>
        <v>91040</v>
      </c>
      <c r="E1684" s="10"/>
      <c r="F1684" s="10"/>
      <c r="G1684" s="10"/>
    </row>
    <row r="1685" spans="1:7" ht="18.75" x14ac:dyDescent="0.3">
      <c r="A1685" s="2" t="s">
        <v>75</v>
      </c>
      <c r="B1685" s="12">
        <v>90</v>
      </c>
      <c r="C1685" s="12">
        <v>1138</v>
      </c>
      <c r="D1685" s="50">
        <f t="shared" si="39"/>
        <v>102420</v>
      </c>
      <c r="E1685" s="10"/>
      <c r="F1685" s="10"/>
    </row>
    <row r="1686" spans="1:7" ht="18.75" x14ac:dyDescent="0.3">
      <c r="A1686" s="2" t="s">
        <v>67</v>
      </c>
      <c r="B1686" s="12">
        <v>180</v>
      </c>
      <c r="C1686" s="12">
        <v>1138</v>
      </c>
      <c r="D1686" s="50">
        <f t="shared" si="39"/>
        <v>204840</v>
      </c>
      <c r="E1686" s="10"/>
      <c r="F1686" s="10"/>
    </row>
    <row r="1687" spans="1:7" ht="18.75" x14ac:dyDescent="0.3">
      <c r="A1687" s="2"/>
      <c r="B1687" s="15"/>
      <c r="C1687" s="3"/>
      <c r="D1687" s="50">
        <f t="shared" si="39"/>
        <v>0</v>
      </c>
      <c r="E1687" s="10"/>
      <c r="F1687" s="16"/>
    </row>
    <row r="1688" spans="1:7" ht="18.75" x14ac:dyDescent="0.3">
      <c r="A1688" s="2"/>
      <c r="B1688" s="15"/>
      <c r="C1688" s="3"/>
      <c r="D1688" s="50"/>
      <c r="E1688" s="10"/>
      <c r="F1688" s="17"/>
    </row>
    <row r="1689" spans="1:7" ht="18.75" x14ac:dyDescent="0.3">
      <c r="A1689" s="2"/>
      <c r="B1689" s="12"/>
      <c r="C1689" s="3"/>
      <c r="D1689" s="50"/>
      <c r="E1689" s="10"/>
      <c r="F1689" s="10"/>
    </row>
    <row r="1690" spans="1:7" ht="18.75" x14ac:dyDescent="0.3">
      <c r="A1690" s="2"/>
      <c r="B1690" s="12"/>
      <c r="C1690" s="3"/>
      <c r="D1690" s="50"/>
      <c r="E1690" s="10"/>
      <c r="F1690" s="10"/>
    </row>
    <row r="1691" spans="1:7" ht="18.75" x14ac:dyDescent="0.3">
      <c r="A1691" s="18"/>
      <c r="B1691" s="19"/>
      <c r="C1691" s="20"/>
      <c r="D1691" s="13"/>
      <c r="E1691" s="10"/>
      <c r="F1691" s="10"/>
    </row>
    <row r="1692" spans="1:7" ht="18.75" x14ac:dyDescent="0.3">
      <c r="A1692" s="1" t="s">
        <v>10</v>
      </c>
      <c r="B1692" s="1" t="s">
        <v>11</v>
      </c>
      <c r="C1692" s="1" t="s">
        <v>12</v>
      </c>
      <c r="D1692" s="1" t="s">
        <v>13</v>
      </c>
      <c r="E1692" s="1" t="s">
        <v>14</v>
      </c>
      <c r="F1692" s="10"/>
    </row>
    <row r="1693" spans="1:7" ht="18.75" x14ac:dyDescent="0.3">
      <c r="A1693" s="3" t="s">
        <v>104</v>
      </c>
      <c r="B1693" s="101" t="s">
        <v>174</v>
      </c>
      <c r="C1693" s="3">
        <v>1138</v>
      </c>
      <c r="D1693" s="58">
        <v>102420</v>
      </c>
      <c r="E1693" s="3"/>
      <c r="F1693" s="10"/>
    </row>
    <row r="1694" spans="1:7" ht="18.75" x14ac:dyDescent="0.3">
      <c r="A1694" s="3" t="s">
        <v>15</v>
      </c>
      <c r="B1694" s="101" t="s">
        <v>257</v>
      </c>
      <c r="C1694" s="3">
        <v>1138</v>
      </c>
      <c r="D1694" s="58">
        <v>102420</v>
      </c>
      <c r="E1694" s="5"/>
      <c r="F1694" s="10"/>
    </row>
    <row r="1695" spans="1:7" ht="18.75" x14ac:dyDescent="0.3">
      <c r="A1695" s="3" t="s">
        <v>16</v>
      </c>
      <c r="B1695" s="101" t="s">
        <v>209</v>
      </c>
      <c r="C1695" s="3">
        <v>1138</v>
      </c>
      <c r="D1695" s="58">
        <v>102420</v>
      </c>
      <c r="E1695" s="5"/>
      <c r="F1695" s="10"/>
    </row>
    <row r="1696" spans="1:7" ht="18.75" x14ac:dyDescent="0.3">
      <c r="A1696" s="3" t="s">
        <v>17</v>
      </c>
      <c r="B1696" s="101" t="s">
        <v>932</v>
      </c>
      <c r="C1696" s="5">
        <v>1138</v>
      </c>
      <c r="D1696" s="58">
        <v>91040</v>
      </c>
      <c r="E1696" s="3"/>
      <c r="F1696" s="10"/>
    </row>
    <row r="1697" spans="1:6" ht="18.75" x14ac:dyDescent="0.3">
      <c r="A1697" s="6" t="s">
        <v>379</v>
      </c>
      <c r="B1697" s="101" t="s">
        <v>460</v>
      </c>
      <c r="C1697" s="3">
        <v>1138</v>
      </c>
      <c r="D1697" s="58">
        <v>227600</v>
      </c>
      <c r="E1697" s="5"/>
      <c r="F1697" s="10"/>
    </row>
    <row r="1698" spans="1:6" ht="18.75" x14ac:dyDescent="0.3">
      <c r="A1698" s="3" t="s">
        <v>300</v>
      </c>
      <c r="B1698" s="101" t="s">
        <v>120</v>
      </c>
      <c r="C1698" s="3">
        <v>1138</v>
      </c>
      <c r="D1698" s="58">
        <v>91040</v>
      </c>
      <c r="E1698" s="5"/>
      <c r="F1698" s="10"/>
    </row>
    <row r="1699" spans="1:6" ht="18.75" x14ac:dyDescent="0.3">
      <c r="A1699" s="3" t="s">
        <v>17</v>
      </c>
      <c r="B1699" s="101" t="s">
        <v>933</v>
      </c>
      <c r="C1699" s="3">
        <v>1138</v>
      </c>
      <c r="D1699" s="58">
        <v>102420</v>
      </c>
      <c r="E1699" s="5"/>
      <c r="F1699" s="10"/>
    </row>
    <row r="1700" spans="1:6" ht="18.75" x14ac:dyDescent="0.3">
      <c r="A1700" s="3" t="s">
        <v>67</v>
      </c>
      <c r="B1700" s="101"/>
      <c r="C1700" s="3">
        <v>1138</v>
      </c>
      <c r="D1700" s="58">
        <v>204840</v>
      </c>
      <c r="E1700" s="3"/>
      <c r="F1700" s="10"/>
    </row>
    <row r="1701" spans="1:6" ht="18.75" x14ac:dyDescent="0.3">
      <c r="A1701" s="3"/>
      <c r="B1701" s="4"/>
      <c r="C1701" s="3"/>
      <c r="D1701" s="58"/>
      <c r="E1701" s="3"/>
      <c r="F1701" s="10"/>
    </row>
    <row r="1702" spans="1:6" ht="18.75" x14ac:dyDescent="0.3">
      <c r="A1702" s="3"/>
      <c r="B1702" s="4"/>
      <c r="C1702" s="3"/>
      <c r="D1702" s="58"/>
      <c r="E1702" s="3"/>
      <c r="F1702" s="10"/>
    </row>
    <row r="1703" spans="1:6" ht="18.75" x14ac:dyDescent="0.3">
      <c r="A1703" s="3"/>
      <c r="B1703" s="4"/>
      <c r="C1703" s="3"/>
      <c r="D1703" s="58"/>
      <c r="E1703" s="3"/>
      <c r="F1703" s="10"/>
    </row>
    <row r="1704" spans="1:6" ht="18.75" x14ac:dyDescent="0.3">
      <c r="A1704" s="3"/>
      <c r="B1704" s="4"/>
      <c r="C1704" s="3"/>
      <c r="D1704" s="58"/>
      <c r="E1704" s="3"/>
      <c r="F1704" s="10"/>
    </row>
    <row r="1705" spans="1:6" ht="18.75" x14ac:dyDescent="0.3">
      <c r="A1705" s="3"/>
      <c r="B1705" s="4"/>
      <c r="C1705" s="3"/>
      <c r="D1705" s="5"/>
      <c r="E1705" s="3" t="s">
        <v>249</v>
      </c>
      <c r="F1705" s="10"/>
    </row>
    <row r="1706" spans="1:6" ht="18.75" x14ac:dyDescent="0.3">
      <c r="A1706" s="3"/>
      <c r="B1706" s="4"/>
      <c r="C1706" s="3"/>
      <c r="D1706" s="5"/>
      <c r="E1706" s="3"/>
      <c r="F1706" s="10"/>
    </row>
    <row r="1707" spans="1:6" ht="18.75" x14ac:dyDescent="0.3">
      <c r="A1707" s="3"/>
      <c r="B1707" s="4"/>
      <c r="C1707" s="3"/>
      <c r="D1707" s="5"/>
      <c r="E1707" s="3"/>
      <c r="F1707" s="10"/>
    </row>
    <row r="1708" spans="1:6" ht="18.75" x14ac:dyDescent="0.3">
      <c r="A1708" s="3"/>
      <c r="B1708" s="4"/>
      <c r="C1708" s="5"/>
      <c r="D1708" s="5"/>
      <c r="E1708" s="3"/>
      <c r="F1708" s="10"/>
    </row>
    <row r="1709" spans="1:6" ht="18.75" x14ac:dyDescent="0.3">
      <c r="A1709" s="3"/>
      <c r="B1709" s="4"/>
      <c r="C1709" s="5"/>
      <c r="D1709" s="5"/>
      <c r="E1709" s="3"/>
    </row>
    <row r="1710" spans="1:6" ht="18.75" x14ac:dyDescent="0.3">
      <c r="A1710" s="3"/>
      <c r="B1710" s="4"/>
      <c r="C1710" s="5"/>
      <c r="D1710" s="5"/>
      <c r="E1710" s="3"/>
    </row>
    <row r="1711" spans="1:6" ht="18.75" x14ac:dyDescent="0.3">
      <c r="A1711" s="3"/>
      <c r="B1711" s="4"/>
      <c r="C1711" s="5"/>
      <c r="D1711" s="5"/>
      <c r="E1711" s="3"/>
    </row>
    <row r="1712" spans="1:6" ht="18.75" x14ac:dyDescent="0.3">
      <c r="A1712" s="3"/>
      <c r="B1712" s="4"/>
      <c r="C1712" s="5"/>
      <c r="D1712" s="5"/>
      <c r="E1712" s="3"/>
    </row>
    <row r="1713" spans="1:7" ht="18.75" x14ac:dyDescent="0.3">
      <c r="A1713" s="3"/>
      <c r="B1713" s="4"/>
      <c r="C1713" s="5"/>
      <c r="D1713" s="5"/>
      <c r="E1713" s="3"/>
    </row>
    <row r="1714" spans="1:7" ht="18.75" x14ac:dyDescent="0.3">
      <c r="A1714" s="3"/>
      <c r="B1714" s="4"/>
      <c r="C1714" s="5"/>
      <c r="D1714" s="5"/>
      <c r="E1714" s="37"/>
    </row>
    <row r="1719" spans="1:7" ht="18.75" x14ac:dyDescent="0.3">
      <c r="A1719" s="35" t="s">
        <v>0</v>
      </c>
      <c r="B1719" s="35" t="s">
        <v>1</v>
      </c>
      <c r="C1719" s="35" t="s">
        <v>2</v>
      </c>
      <c r="D1719" s="35" t="s">
        <v>3</v>
      </c>
      <c r="E1719" s="35" t="s">
        <v>4</v>
      </c>
      <c r="F1719" s="35" t="s">
        <v>5</v>
      </c>
      <c r="G1719" s="35" t="s">
        <v>6</v>
      </c>
    </row>
    <row r="1720" spans="1:7" ht="18.75" x14ac:dyDescent="0.3">
      <c r="A1720" s="22">
        <v>2978</v>
      </c>
      <c r="B1720" s="22" t="s">
        <v>780</v>
      </c>
      <c r="C1720" s="23" t="s">
        <v>926</v>
      </c>
      <c r="D1720" s="24">
        <v>1115</v>
      </c>
      <c r="E1720" s="22">
        <v>1500</v>
      </c>
      <c r="F1720" s="25" t="s">
        <v>934</v>
      </c>
      <c r="G1720" s="26">
        <f>D1720*E1720</f>
        <v>1672500</v>
      </c>
    </row>
    <row r="1721" spans="1:7" ht="18.75" x14ac:dyDescent="0.3">
      <c r="A1721" s="1" t="s">
        <v>7</v>
      </c>
      <c r="B1721" s="7">
        <v>5.4</v>
      </c>
      <c r="C1721" s="48" t="s">
        <v>3</v>
      </c>
      <c r="D1721" s="48" t="s">
        <v>8</v>
      </c>
      <c r="E1721" s="46">
        <v>1003500</v>
      </c>
      <c r="F1721" s="10"/>
      <c r="G1721" s="11">
        <v>669000</v>
      </c>
    </row>
    <row r="1722" spans="1:7" ht="18.75" x14ac:dyDescent="0.3">
      <c r="A1722" s="2" t="s">
        <v>486</v>
      </c>
      <c r="B1722" s="12">
        <v>60</v>
      </c>
      <c r="C1722" s="12">
        <v>1115</v>
      </c>
      <c r="D1722" s="50">
        <f t="shared" ref="D1722:D1731" si="40">B1722*C1722</f>
        <v>66900</v>
      </c>
      <c r="E1722" s="21">
        <v>0.6</v>
      </c>
      <c r="F1722" s="10"/>
      <c r="G1722" s="21">
        <v>0.4</v>
      </c>
    </row>
    <row r="1723" spans="1:7" ht="18.75" x14ac:dyDescent="0.3">
      <c r="A1723" s="2" t="s">
        <v>487</v>
      </c>
      <c r="B1723" s="12">
        <v>60</v>
      </c>
      <c r="C1723" s="12">
        <v>1115</v>
      </c>
      <c r="D1723" s="50">
        <f t="shared" si="40"/>
        <v>66900</v>
      </c>
      <c r="E1723" s="10"/>
      <c r="F1723" s="10"/>
      <c r="G1723" s="10"/>
    </row>
    <row r="1724" spans="1:7" ht="18.75" x14ac:dyDescent="0.3">
      <c r="A1724" s="2" t="s">
        <v>86</v>
      </c>
      <c r="B1724" s="12">
        <v>60</v>
      </c>
      <c r="C1724" s="12">
        <v>1115</v>
      </c>
      <c r="D1724" s="50">
        <f t="shared" si="40"/>
        <v>66900</v>
      </c>
      <c r="E1724" s="10"/>
      <c r="F1724" s="10"/>
      <c r="G1724" s="10"/>
    </row>
    <row r="1725" spans="1:7" ht="18.75" x14ac:dyDescent="0.3">
      <c r="A1725" s="2" t="s">
        <v>927</v>
      </c>
      <c r="B1725" s="12">
        <v>90</v>
      </c>
      <c r="C1725" s="12">
        <v>1115</v>
      </c>
      <c r="D1725" s="50">
        <f t="shared" si="40"/>
        <v>100350</v>
      </c>
      <c r="E1725" s="10"/>
      <c r="F1725" s="10"/>
      <c r="G1725" s="10"/>
    </row>
    <row r="1726" spans="1:7" ht="18.75" x14ac:dyDescent="0.3">
      <c r="A1726" s="2" t="s">
        <v>928</v>
      </c>
      <c r="B1726" s="12">
        <v>150</v>
      </c>
      <c r="C1726" s="12">
        <v>1115</v>
      </c>
      <c r="D1726" s="50">
        <f t="shared" si="40"/>
        <v>167250</v>
      </c>
      <c r="E1726" s="10"/>
      <c r="F1726" s="10"/>
      <c r="G1726" s="14">
        <f>E1721-D1736-D1737-D1738-D1739-D1740-D1741-D1742-D1743-D1744-D1745-D1746-D1747-D1748-D1749-D1750-D1751-D1752-D1753-D1754-D1755-D1756-D1757-D1758-D1758</f>
        <v>0</v>
      </c>
    </row>
    <row r="1727" spans="1:7" ht="18.75" x14ac:dyDescent="0.3">
      <c r="A1727" s="2" t="s">
        <v>488</v>
      </c>
      <c r="B1727" s="12">
        <v>90</v>
      </c>
      <c r="C1727" s="12">
        <v>1115</v>
      </c>
      <c r="D1727" s="50">
        <f t="shared" si="40"/>
        <v>100350</v>
      </c>
      <c r="E1727" s="10"/>
      <c r="F1727" s="10"/>
      <c r="G1727" s="10"/>
    </row>
    <row r="1728" spans="1:7" ht="18.75" x14ac:dyDescent="0.3">
      <c r="A1728" s="2" t="s">
        <v>132</v>
      </c>
      <c r="B1728" s="12">
        <v>180</v>
      </c>
      <c r="C1728" s="12">
        <v>1115</v>
      </c>
      <c r="D1728" s="50">
        <f t="shared" si="40"/>
        <v>200700</v>
      </c>
      <c r="E1728" s="10"/>
      <c r="F1728" s="10"/>
    </row>
    <row r="1729" spans="1:6" ht="18.75" x14ac:dyDescent="0.3">
      <c r="A1729" s="2" t="s">
        <v>131</v>
      </c>
      <c r="B1729" s="12">
        <v>43</v>
      </c>
      <c r="C1729" s="12">
        <v>1115</v>
      </c>
      <c r="D1729" s="50">
        <f t="shared" si="40"/>
        <v>47945</v>
      </c>
      <c r="E1729" s="10"/>
      <c r="F1729" s="10"/>
    </row>
    <row r="1730" spans="1:6" ht="18.75" x14ac:dyDescent="0.3">
      <c r="A1730" s="2" t="s">
        <v>61</v>
      </c>
      <c r="B1730" s="15">
        <v>90</v>
      </c>
      <c r="C1730" s="3">
        <v>1115</v>
      </c>
      <c r="D1730" s="50">
        <f t="shared" si="40"/>
        <v>100350</v>
      </c>
      <c r="E1730" s="10"/>
      <c r="F1730" s="16"/>
    </row>
    <row r="1731" spans="1:6" ht="18.75" x14ac:dyDescent="0.3">
      <c r="A1731" s="2" t="s">
        <v>67</v>
      </c>
      <c r="B1731" s="15">
        <v>77</v>
      </c>
      <c r="C1731" s="3">
        <v>1115</v>
      </c>
      <c r="D1731" s="50">
        <f t="shared" si="40"/>
        <v>85855</v>
      </c>
      <c r="E1731" s="10"/>
      <c r="F1731" s="17"/>
    </row>
    <row r="1732" spans="1:6" ht="18.75" x14ac:dyDescent="0.3">
      <c r="A1732" s="2"/>
      <c r="B1732" s="12"/>
      <c r="C1732" s="3"/>
      <c r="D1732" s="50"/>
      <c r="E1732" s="10"/>
      <c r="F1732" s="10"/>
    </row>
    <row r="1733" spans="1:6" ht="18.75" x14ac:dyDescent="0.3">
      <c r="A1733" s="2"/>
      <c r="B1733" s="12"/>
      <c r="C1733" s="3"/>
      <c r="D1733" s="50"/>
      <c r="E1733" s="10"/>
      <c r="F1733" s="10"/>
    </row>
    <row r="1734" spans="1:6" ht="18.75" x14ac:dyDescent="0.3">
      <c r="A1734" s="18"/>
      <c r="B1734" s="19"/>
      <c r="C1734" s="20"/>
      <c r="D1734" s="13"/>
      <c r="E1734" s="10"/>
      <c r="F1734" s="10"/>
    </row>
    <row r="1735" spans="1:6" ht="18.75" x14ac:dyDescent="0.3">
      <c r="A1735" s="1" t="s">
        <v>10</v>
      </c>
      <c r="B1735" s="1" t="s">
        <v>11</v>
      </c>
      <c r="C1735" s="1" t="s">
        <v>12</v>
      </c>
      <c r="D1735" s="1" t="s">
        <v>13</v>
      </c>
      <c r="E1735" s="1" t="s">
        <v>14</v>
      </c>
      <c r="F1735" s="10"/>
    </row>
    <row r="1736" spans="1:6" ht="18.75" x14ac:dyDescent="0.3">
      <c r="A1736" s="3" t="s">
        <v>15</v>
      </c>
      <c r="B1736" s="101" t="s">
        <v>486</v>
      </c>
      <c r="C1736" s="3">
        <v>1115</v>
      </c>
      <c r="D1736" s="58">
        <v>66900</v>
      </c>
      <c r="E1736" s="3"/>
      <c r="F1736" s="10"/>
    </row>
    <row r="1737" spans="1:6" ht="18.75" x14ac:dyDescent="0.3">
      <c r="A1737" s="3" t="s">
        <v>16</v>
      </c>
      <c r="B1737" s="101" t="s">
        <v>487</v>
      </c>
      <c r="C1737" s="3">
        <v>1115</v>
      </c>
      <c r="D1737" s="58">
        <v>66900</v>
      </c>
      <c r="E1737" s="5"/>
      <c r="F1737" s="10"/>
    </row>
    <row r="1738" spans="1:6" ht="18.75" x14ac:dyDescent="0.3">
      <c r="A1738" s="3" t="s">
        <v>104</v>
      </c>
      <c r="B1738" s="101" t="s">
        <v>86</v>
      </c>
      <c r="C1738" s="3">
        <v>1115</v>
      </c>
      <c r="D1738" s="58">
        <v>66900</v>
      </c>
      <c r="E1738" s="5"/>
      <c r="F1738" s="10"/>
    </row>
    <row r="1739" spans="1:6" ht="18.75" x14ac:dyDescent="0.3">
      <c r="A1739" s="3" t="s">
        <v>17</v>
      </c>
      <c r="B1739" s="101" t="s">
        <v>61</v>
      </c>
      <c r="C1739" s="5">
        <v>1115</v>
      </c>
      <c r="D1739" s="58">
        <v>100350</v>
      </c>
      <c r="E1739" s="3"/>
      <c r="F1739" s="10"/>
    </row>
    <row r="1740" spans="1:6" ht="18.75" x14ac:dyDescent="0.3">
      <c r="A1740" s="6" t="s">
        <v>113</v>
      </c>
      <c r="B1740" s="101" t="s">
        <v>928</v>
      </c>
      <c r="C1740" s="3">
        <v>1115</v>
      </c>
      <c r="D1740" s="58">
        <v>167250</v>
      </c>
      <c r="E1740" s="5"/>
      <c r="F1740" s="10"/>
    </row>
    <row r="1741" spans="1:6" ht="18.75" x14ac:dyDescent="0.3">
      <c r="A1741" s="3" t="s">
        <v>42</v>
      </c>
      <c r="B1741" s="101" t="s">
        <v>726</v>
      </c>
      <c r="C1741" s="3">
        <v>1115</v>
      </c>
      <c r="D1741" s="58">
        <v>100350</v>
      </c>
      <c r="E1741" s="5"/>
      <c r="F1741" s="10"/>
    </row>
    <row r="1742" spans="1:6" ht="18.75" x14ac:dyDescent="0.3">
      <c r="A1742" s="3" t="s">
        <v>379</v>
      </c>
      <c r="B1742" s="101" t="s">
        <v>132</v>
      </c>
      <c r="C1742" s="3">
        <v>1115</v>
      </c>
      <c r="D1742" s="58">
        <v>200700</v>
      </c>
      <c r="E1742" s="5"/>
      <c r="F1742" s="10"/>
    </row>
    <row r="1743" spans="1:6" ht="18.75" x14ac:dyDescent="0.3">
      <c r="A1743" s="3" t="s">
        <v>104</v>
      </c>
      <c r="B1743" s="101" t="s">
        <v>62</v>
      </c>
      <c r="C1743" s="3">
        <v>1115</v>
      </c>
      <c r="D1743" s="58">
        <v>47945</v>
      </c>
      <c r="E1743" s="3"/>
      <c r="F1743" s="10"/>
    </row>
    <row r="1744" spans="1:6" ht="18.75" x14ac:dyDescent="0.3">
      <c r="A1744" s="3" t="s">
        <v>67</v>
      </c>
      <c r="B1744" s="4"/>
      <c r="C1744" s="3">
        <v>1115</v>
      </c>
      <c r="D1744" s="58">
        <v>85855</v>
      </c>
      <c r="E1744" s="3"/>
      <c r="F1744" s="10"/>
    </row>
    <row r="1745" spans="1:6" ht="18.75" x14ac:dyDescent="0.3">
      <c r="A1745" s="3" t="s">
        <v>15</v>
      </c>
      <c r="B1745" s="4" t="s">
        <v>209</v>
      </c>
      <c r="C1745" s="3">
        <v>1115</v>
      </c>
      <c r="D1745" s="58">
        <v>100350</v>
      </c>
      <c r="E1745" s="3"/>
      <c r="F1745" s="10"/>
    </row>
    <row r="1746" spans="1:6" ht="18.75" x14ac:dyDescent="0.3">
      <c r="A1746" s="3"/>
      <c r="B1746" s="4"/>
      <c r="C1746" s="3"/>
      <c r="D1746" s="58"/>
      <c r="E1746" s="3"/>
      <c r="F1746" s="10"/>
    </row>
    <row r="1747" spans="1:6" ht="18.75" x14ac:dyDescent="0.3">
      <c r="A1747" s="3"/>
      <c r="B1747" s="4"/>
      <c r="C1747" s="3"/>
      <c r="D1747" s="58"/>
      <c r="E1747" s="3"/>
      <c r="F1747" s="10"/>
    </row>
    <row r="1748" spans="1:6" ht="18.75" x14ac:dyDescent="0.3">
      <c r="A1748" s="3"/>
      <c r="B1748" s="4"/>
      <c r="C1748" s="3"/>
      <c r="D1748" s="5"/>
      <c r="E1748" s="3" t="s">
        <v>249</v>
      </c>
      <c r="F1748" s="10"/>
    </row>
    <row r="1749" spans="1:6" ht="18.75" x14ac:dyDescent="0.3">
      <c r="A1749" s="3"/>
      <c r="B1749" s="4"/>
      <c r="C1749" s="3"/>
      <c r="D1749" s="5"/>
      <c r="E1749" s="3"/>
      <c r="F1749" s="10"/>
    </row>
    <row r="1750" spans="1:6" ht="18.75" x14ac:dyDescent="0.3">
      <c r="A1750" s="3"/>
      <c r="B1750" s="4"/>
      <c r="C1750" s="3"/>
      <c r="D1750" s="5"/>
      <c r="E1750" s="3"/>
      <c r="F1750" s="10"/>
    </row>
    <row r="1751" spans="1:6" ht="18.75" x14ac:dyDescent="0.3">
      <c r="A1751" s="3"/>
      <c r="B1751" s="4"/>
      <c r="C1751" s="5"/>
      <c r="D1751" s="5"/>
      <c r="E1751" s="3"/>
      <c r="F1751" s="10"/>
    </row>
    <row r="1752" spans="1:6" ht="18.75" x14ac:dyDescent="0.3">
      <c r="A1752" s="3"/>
      <c r="B1752" s="4"/>
      <c r="C1752" s="5"/>
      <c r="D1752" s="5"/>
      <c r="E1752" s="3"/>
    </row>
    <row r="1753" spans="1:6" ht="18.75" x14ac:dyDescent="0.3">
      <c r="A1753" s="3"/>
      <c r="B1753" s="4"/>
      <c r="C1753" s="5"/>
      <c r="D1753" s="5"/>
      <c r="E1753" s="3"/>
    </row>
    <row r="1754" spans="1:6" ht="18.75" x14ac:dyDescent="0.3">
      <c r="A1754" s="3"/>
      <c r="B1754" s="4"/>
      <c r="C1754" s="5"/>
      <c r="D1754" s="5"/>
      <c r="E1754" s="3"/>
    </row>
    <row r="1755" spans="1:6" ht="18.75" x14ac:dyDescent="0.3">
      <c r="A1755" s="3"/>
      <c r="B1755" s="4"/>
      <c r="C1755" s="5"/>
      <c r="D1755" s="5"/>
      <c r="E1755" s="3"/>
    </row>
    <row r="1756" spans="1:6" ht="18.75" x14ac:dyDescent="0.3">
      <c r="A1756" s="3"/>
      <c r="B1756" s="4"/>
      <c r="C1756" s="5"/>
      <c r="D1756" s="5"/>
      <c r="E1756" s="3"/>
    </row>
    <row r="1757" spans="1:6" ht="18.75" x14ac:dyDescent="0.3">
      <c r="A1757" s="3"/>
      <c r="B1757" s="4"/>
      <c r="C1757" s="5"/>
      <c r="D1757" s="5"/>
      <c r="E1757" s="37"/>
    </row>
    <row r="1763" spans="1:7" ht="18.75" x14ac:dyDescent="0.3">
      <c r="A1763" s="35" t="s">
        <v>0</v>
      </c>
      <c r="B1763" s="35" t="s">
        <v>1</v>
      </c>
      <c r="C1763" s="35" t="s">
        <v>2</v>
      </c>
      <c r="D1763" s="35" t="s">
        <v>3</v>
      </c>
      <c r="E1763" s="35" t="s">
        <v>4</v>
      </c>
      <c r="F1763" s="35" t="s">
        <v>5</v>
      </c>
      <c r="G1763" s="35" t="s">
        <v>6</v>
      </c>
    </row>
    <row r="1764" spans="1:7" ht="18.75" x14ac:dyDescent="0.3">
      <c r="A1764" s="22">
        <v>2977</v>
      </c>
      <c r="B1764" s="22" t="s">
        <v>780</v>
      </c>
      <c r="C1764" s="23" t="s">
        <v>929</v>
      </c>
      <c r="D1764" s="24">
        <v>1138</v>
      </c>
      <c r="E1764" s="22">
        <v>1350</v>
      </c>
      <c r="F1764" s="25" t="s">
        <v>934</v>
      </c>
      <c r="G1764" s="26">
        <f>D1764*E1764</f>
        <v>1536300</v>
      </c>
    </row>
    <row r="1765" spans="1:7" ht="18.75" x14ac:dyDescent="0.3">
      <c r="A1765" s="1" t="s">
        <v>7</v>
      </c>
      <c r="B1765" s="7">
        <v>5.4</v>
      </c>
      <c r="C1765" s="48" t="s">
        <v>3</v>
      </c>
      <c r="D1765" s="48" t="s">
        <v>8</v>
      </c>
      <c r="E1765" s="46">
        <v>1024200</v>
      </c>
      <c r="F1765" s="10"/>
      <c r="G1765" s="11">
        <v>682800</v>
      </c>
    </row>
    <row r="1766" spans="1:7" ht="18.75" x14ac:dyDescent="0.3">
      <c r="A1766" s="2" t="s">
        <v>174</v>
      </c>
      <c r="B1766" s="12">
        <v>90</v>
      </c>
      <c r="C1766" s="12">
        <v>1138</v>
      </c>
      <c r="D1766" s="50">
        <f t="shared" ref="D1766:D1774" si="41">B1766*C1766</f>
        <v>102420</v>
      </c>
      <c r="E1766" s="21">
        <v>0.6</v>
      </c>
      <c r="F1766" s="10"/>
      <c r="G1766" s="21">
        <v>0.4</v>
      </c>
    </row>
    <row r="1767" spans="1:7" ht="18.75" x14ac:dyDescent="0.3">
      <c r="A1767" s="2" t="s">
        <v>498</v>
      </c>
      <c r="B1767" s="12">
        <v>90</v>
      </c>
      <c r="C1767" s="12">
        <v>1138</v>
      </c>
      <c r="D1767" s="50">
        <f t="shared" si="41"/>
        <v>102420</v>
      </c>
      <c r="E1767" s="10"/>
      <c r="F1767" s="10"/>
      <c r="G1767" s="10"/>
    </row>
    <row r="1768" spans="1:7" ht="18.75" x14ac:dyDescent="0.3">
      <c r="A1768" s="2" t="s">
        <v>209</v>
      </c>
      <c r="B1768" s="12">
        <v>90</v>
      </c>
      <c r="C1768" s="12">
        <v>1138</v>
      </c>
      <c r="D1768" s="50">
        <f t="shared" si="41"/>
        <v>102420</v>
      </c>
      <c r="E1768" s="10"/>
      <c r="F1768" s="10"/>
      <c r="G1768" s="10"/>
    </row>
    <row r="1769" spans="1:7" ht="18.75" x14ac:dyDescent="0.3">
      <c r="A1769" s="2" t="s">
        <v>460</v>
      </c>
      <c r="B1769" s="12">
        <v>200</v>
      </c>
      <c r="C1769" s="12">
        <v>1138</v>
      </c>
      <c r="D1769" s="50">
        <f t="shared" si="41"/>
        <v>227600</v>
      </c>
      <c r="E1769" s="10"/>
      <c r="F1769" s="10"/>
      <c r="G1769" s="10"/>
    </row>
    <row r="1770" spans="1:7" ht="18.75" x14ac:dyDescent="0.3">
      <c r="A1770" s="2" t="s">
        <v>120</v>
      </c>
      <c r="B1770" s="12">
        <v>80</v>
      </c>
      <c r="C1770" s="12">
        <v>1138</v>
      </c>
      <c r="D1770" s="50">
        <f t="shared" si="41"/>
        <v>91040</v>
      </c>
      <c r="E1770" s="10"/>
      <c r="F1770" s="10"/>
      <c r="G1770" s="14">
        <f>E1765-D1780-D1781-D1782-D1783-D1784-D1785-D1786-D1787-D1788-D1789-D1790-D1791-D1792-D1793-D1794-D1795-D1796-D1797-D1798-D1799-D1800-D1801-D1802-D1802</f>
        <v>0</v>
      </c>
    </row>
    <row r="1771" spans="1:7" ht="18.75" x14ac:dyDescent="0.3">
      <c r="A1771" s="2" t="s">
        <v>70</v>
      </c>
      <c r="B1771" s="12">
        <v>80</v>
      </c>
      <c r="C1771" s="12">
        <v>1138</v>
      </c>
      <c r="D1771" s="50">
        <f t="shared" si="41"/>
        <v>91040</v>
      </c>
      <c r="E1771" s="10"/>
      <c r="F1771" s="10"/>
      <c r="G1771" s="10"/>
    </row>
    <row r="1772" spans="1:7" ht="18.75" x14ac:dyDescent="0.3">
      <c r="A1772" s="2" t="s">
        <v>75</v>
      </c>
      <c r="B1772" s="12">
        <v>90</v>
      </c>
      <c r="C1772" s="12">
        <v>1138</v>
      </c>
      <c r="D1772" s="50">
        <f t="shared" si="41"/>
        <v>102420</v>
      </c>
      <c r="E1772" s="10"/>
      <c r="F1772" s="10"/>
    </row>
    <row r="1773" spans="1:7" ht="18.75" x14ac:dyDescent="0.3">
      <c r="A1773" s="2" t="s">
        <v>67</v>
      </c>
      <c r="B1773" s="12">
        <v>90</v>
      </c>
      <c r="C1773" s="12">
        <v>1138</v>
      </c>
      <c r="D1773" s="50">
        <f t="shared" si="41"/>
        <v>102420</v>
      </c>
      <c r="E1773" s="10"/>
      <c r="F1773" s="10"/>
    </row>
    <row r="1774" spans="1:7" ht="18.75" x14ac:dyDescent="0.3">
      <c r="A1774" s="2"/>
      <c r="B1774" s="15"/>
      <c r="C1774" s="3"/>
      <c r="D1774" s="50">
        <f t="shared" si="41"/>
        <v>0</v>
      </c>
      <c r="E1774" s="10"/>
      <c r="F1774" s="16"/>
    </row>
    <row r="1775" spans="1:7" ht="18.75" x14ac:dyDescent="0.3">
      <c r="A1775" s="2"/>
      <c r="B1775" s="15"/>
      <c r="C1775" s="3"/>
      <c r="D1775" s="50"/>
      <c r="E1775" s="10"/>
      <c r="F1775" s="17"/>
    </row>
    <row r="1776" spans="1:7" ht="18.75" x14ac:dyDescent="0.3">
      <c r="A1776" s="2"/>
      <c r="B1776" s="12"/>
      <c r="C1776" s="3"/>
      <c r="D1776" s="50"/>
      <c r="E1776" s="10"/>
      <c r="F1776" s="10"/>
    </row>
    <row r="1777" spans="1:6" ht="18.75" x14ac:dyDescent="0.3">
      <c r="A1777" s="2"/>
      <c r="B1777" s="12"/>
      <c r="C1777" s="3"/>
      <c r="D1777" s="50"/>
      <c r="E1777" s="10"/>
      <c r="F1777" s="10"/>
    </row>
    <row r="1778" spans="1:6" ht="18.75" x14ac:dyDescent="0.3">
      <c r="A1778" s="18"/>
      <c r="B1778" s="19"/>
      <c r="C1778" s="20"/>
      <c r="D1778" s="13"/>
      <c r="E1778" s="10"/>
      <c r="F1778" s="10"/>
    </row>
    <row r="1779" spans="1:6" ht="18.75" x14ac:dyDescent="0.3">
      <c r="A1779" s="1" t="s">
        <v>10</v>
      </c>
      <c r="B1779" s="1" t="s">
        <v>11</v>
      </c>
      <c r="C1779" s="1" t="s">
        <v>12</v>
      </c>
      <c r="D1779" s="1" t="s">
        <v>13</v>
      </c>
      <c r="E1779" s="1" t="s">
        <v>14</v>
      </c>
      <c r="F1779" s="10"/>
    </row>
    <row r="1780" spans="1:6" ht="18.75" x14ac:dyDescent="0.3">
      <c r="A1780" s="3" t="s">
        <v>104</v>
      </c>
      <c r="B1780" s="101" t="s">
        <v>174</v>
      </c>
      <c r="C1780" s="3">
        <v>1138</v>
      </c>
      <c r="D1780" s="58">
        <v>102420</v>
      </c>
      <c r="E1780" s="3"/>
      <c r="F1780" s="10"/>
    </row>
    <row r="1781" spans="1:6" ht="18.75" x14ac:dyDescent="0.3">
      <c r="A1781" s="3" t="s">
        <v>15</v>
      </c>
      <c r="B1781" s="101" t="s">
        <v>257</v>
      </c>
      <c r="C1781" s="3">
        <v>1138</v>
      </c>
      <c r="D1781" s="58">
        <v>102420</v>
      </c>
      <c r="E1781" s="5"/>
      <c r="F1781" s="10"/>
    </row>
    <row r="1782" spans="1:6" ht="18.75" x14ac:dyDescent="0.3">
      <c r="A1782" s="3" t="s">
        <v>16</v>
      </c>
      <c r="B1782" s="101" t="s">
        <v>209</v>
      </c>
      <c r="C1782" s="3">
        <v>1138</v>
      </c>
      <c r="D1782" s="58">
        <v>102420</v>
      </c>
      <c r="E1782" s="5"/>
      <c r="F1782" s="10"/>
    </row>
    <row r="1783" spans="1:6" ht="18.75" x14ac:dyDescent="0.3">
      <c r="A1783" s="3" t="s">
        <v>17</v>
      </c>
      <c r="B1783" s="101" t="s">
        <v>932</v>
      </c>
      <c r="C1783" s="3">
        <v>1138</v>
      </c>
      <c r="D1783" s="58">
        <v>91040</v>
      </c>
      <c r="E1783" s="3"/>
      <c r="F1783" s="10"/>
    </row>
    <row r="1784" spans="1:6" ht="18.75" x14ac:dyDescent="0.3">
      <c r="A1784" s="6" t="s">
        <v>379</v>
      </c>
      <c r="B1784" s="101" t="s">
        <v>460</v>
      </c>
      <c r="C1784" s="3">
        <v>1138</v>
      </c>
      <c r="D1784" s="58">
        <v>227600</v>
      </c>
      <c r="E1784" s="5"/>
      <c r="F1784" s="10"/>
    </row>
    <row r="1785" spans="1:6" ht="18.75" x14ac:dyDescent="0.3">
      <c r="A1785" s="3" t="s">
        <v>300</v>
      </c>
      <c r="B1785" s="101" t="s">
        <v>120</v>
      </c>
      <c r="C1785" s="3">
        <v>1138</v>
      </c>
      <c r="D1785" s="58">
        <v>91040</v>
      </c>
      <c r="E1785" s="5"/>
      <c r="F1785" s="10"/>
    </row>
    <row r="1786" spans="1:6" ht="18.75" x14ac:dyDescent="0.3">
      <c r="A1786" s="3" t="s">
        <v>17</v>
      </c>
      <c r="B1786" s="101" t="s">
        <v>933</v>
      </c>
      <c r="C1786" s="3">
        <v>1138</v>
      </c>
      <c r="D1786" s="58">
        <v>102420</v>
      </c>
      <c r="E1786" s="5"/>
      <c r="F1786" s="10"/>
    </row>
    <row r="1787" spans="1:6" ht="18.75" x14ac:dyDescent="0.3">
      <c r="A1787" s="3" t="s">
        <v>67</v>
      </c>
      <c r="B1787" s="101"/>
      <c r="C1787" s="3">
        <v>1138</v>
      </c>
      <c r="D1787" s="58">
        <v>204840</v>
      </c>
      <c r="E1787" s="3"/>
      <c r="F1787" s="10"/>
    </row>
    <row r="1788" spans="1:6" ht="18.75" x14ac:dyDescent="0.3">
      <c r="A1788" s="3"/>
      <c r="B1788" s="4"/>
      <c r="C1788" s="3"/>
      <c r="D1788" s="58"/>
      <c r="E1788" s="3"/>
      <c r="F1788" s="10"/>
    </row>
    <row r="1789" spans="1:6" ht="18.75" x14ac:dyDescent="0.3">
      <c r="A1789" s="3"/>
      <c r="B1789" s="4"/>
      <c r="C1789" s="3"/>
      <c r="D1789" s="58"/>
      <c r="E1789" s="3"/>
      <c r="F1789" s="10"/>
    </row>
    <row r="1790" spans="1:6" ht="18.75" x14ac:dyDescent="0.3">
      <c r="A1790" s="3"/>
      <c r="B1790" s="4"/>
      <c r="C1790" s="3"/>
      <c r="D1790" s="58"/>
      <c r="E1790" s="3"/>
      <c r="F1790" s="10"/>
    </row>
    <row r="1791" spans="1:6" ht="18.75" x14ac:dyDescent="0.3">
      <c r="A1791" s="3"/>
      <c r="B1791" s="4"/>
      <c r="C1791" s="3"/>
      <c r="D1791" s="58"/>
      <c r="E1791" s="3"/>
      <c r="F1791" s="10"/>
    </row>
    <row r="1792" spans="1:6" ht="18.75" x14ac:dyDescent="0.3">
      <c r="A1792" s="3"/>
      <c r="B1792" s="4"/>
      <c r="C1792" s="3"/>
      <c r="D1792" s="5"/>
      <c r="E1792" s="3" t="s">
        <v>249</v>
      </c>
      <c r="F1792" s="10"/>
    </row>
    <row r="1793" spans="1:7" ht="18.75" x14ac:dyDescent="0.3">
      <c r="A1793" s="3"/>
      <c r="B1793" s="4"/>
      <c r="C1793" s="3"/>
      <c r="D1793" s="5"/>
      <c r="E1793" s="3"/>
      <c r="F1793" s="10"/>
    </row>
    <row r="1794" spans="1:7" ht="18.75" x14ac:dyDescent="0.3">
      <c r="A1794" s="3"/>
      <c r="B1794" s="4"/>
      <c r="C1794" s="3"/>
      <c r="D1794" s="5"/>
      <c r="E1794" s="3"/>
      <c r="F1794" s="10"/>
    </row>
    <row r="1795" spans="1:7" ht="18.75" x14ac:dyDescent="0.3">
      <c r="A1795" s="3"/>
      <c r="B1795" s="4"/>
      <c r="C1795" s="5"/>
      <c r="D1795" s="5"/>
      <c r="E1795" s="3"/>
      <c r="F1795" s="10"/>
    </row>
    <row r="1796" spans="1:7" ht="18.75" x14ac:dyDescent="0.3">
      <c r="A1796" s="3"/>
      <c r="B1796" s="4"/>
      <c r="C1796" s="5"/>
      <c r="D1796" s="5"/>
      <c r="E1796" s="3"/>
    </row>
    <row r="1797" spans="1:7" ht="18.75" x14ac:dyDescent="0.3">
      <c r="A1797" s="3"/>
      <c r="B1797" s="4"/>
      <c r="C1797" s="5"/>
      <c r="D1797" s="5"/>
      <c r="E1797" s="3"/>
    </row>
    <row r="1798" spans="1:7" ht="18.75" x14ac:dyDescent="0.3">
      <c r="A1798" s="3"/>
      <c r="B1798" s="4"/>
      <c r="C1798" s="5"/>
      <c r="D1798" s="5"/>
      <c r="E1798" s="3"/>
    </row>
    <row r="1799" spans="1:7" ht="18.75" x14ac:dyDescent="0.3">
      <c r="A1799" s="3"/>
      <c r="B1799" s="4"/>
      <c r="C1799" s="5"/>
      <c r="D1799" s="5"/>
      <c r="E1799" s="3"/>
    </row>
    <row r="1800" spans="1:7" ht="18.75" x14ac:dyDescent="0.3">
      <c r="A1800" s="3"/>
      <c r="B1800" s="4"/>
      <c r="C1800" s="5"/>
      <c r="D1800" s="5"/>
      <c r="E1800" s="3"/>
    </row>
    <row r="1801" spans="1:7" ht="18.75" x14ac:dyDescent="0.3">
      <c r="A1801" s="3"/>
      <c r="B1801" s="4"/>
      <c r="C1801" s="5"/>
      <c r="D1801" s="5"/>
      <c r="E1801" s="37"/>
    </row>
    <row r="1808" spans="1:7" ht="18.75" x14ac:dyDescent="0.3">
      <c r="A1808" s="35" t="s">
        <v>0</v>
      </c>
      <c r="B1808" s="35" t="s">
        <v>1</v>
      </c>
      <c r="C1808" s="35" t="s">
        <v>2</v>
      </c>
      <c r="D1808" s="35" t="s">
        <v>3</v>
      </c>
      <c r="E1808" s="35" t="s">
        <v>4</v>
      </c>
      <c r="F1808" s="35" t="s">
        <v>5</v>
      </c>
      <c r="G1808" s="35" t="s">
        <v>6</v>
      </c>
    </row>
    <row r="1809" spans="1:7" ht="18.75" x14ac:dyDescent="0.3">
      <c r="A1809" s="22">
        <v>2995</v>
      </c>
      <c r="B1809" s="22" t="s">
        <v>780</v>
      </c>
      <c r="C1809" s="23" t="s">
        <v>218</v>
      </c>
      <c r="D1809" s="24">
        <v>4347</v>
      </c>
      <c r="E1809" s="22">
        <v>900</v>
      </c>
      <c r="F1809" s="25" t="s">
        <v>151</v>
      </c>
      <c r="G1809" s="26">
        <f>D1809*E1809</f>
        <v>3912300</v>
      </c>
    </row>
    <row r="1810" spans="1:7" ht="18.75" x14ac:dyDescent="0.3">
      <c r="A1810" s="1" t="s">
        <v>7</v>
      </c>
      <c r="B1810" s="7">
        <v>5.4</v>
      </c>
      <c r="C1810" s="48" t="s">
        <v>3</v>
      </c>
      <c r="D1810" s="48" t="s">
        <v>8</v>
      </c>
      <c r="E1810" s="46">
        <v>2347380</v>
      </c>
      <c r="F1810" s="10"/>
      <c r="G1810" s="11">
        <v>1564920</v>
      </c>
    </row>
    <row r="1811" spans="1:7" ht="18.75" x14ac:dyDescent="0.3">
      <c r="A1811" s="2" t="s">
        <v>174</v>
      </c>
      <c r="B1811" s="12">
        <v>58</v>
      </c>
      <c r="C1811" s="12">
        <v>4347</v>
      </c>
      <c r="D1811" s="50">
        <f t="shared" ref="D1811:D1819" si="42">B1811*C1811</f>
        <v>252126</v>
      </c>
      <c r="E1811" s="21">
        <v>0.6</v>
      </c>
      <c r="F1811" s="10"/>
      <c r="G1811" s="21">
        <v>0.4</v>
      </c>
    </row>
    <row r="1812" spans="1:7" ht="18.75" x14ac:dyDescent="0.3">
      <c r="A1812" s="2" t="s">
        <v>498</v>
      </c>
      <c r="B1812" s="12">
        <v>86</v>
      </c>
      <c r="C1812" s="12">
        <v>4347</v>
      </c>
      <c r="D1812" s="50">
        <f t="shared" si="42"/>
        <v>373842</v>
      </c>
      <c r="E1812" s="10"/>
      <c r="F1812" s="10"/>
      <c r="G1812" s="10"/>
    </row>
    <row r="1813" spans="1:7" ht="18.75" x14ac:dyDescent="0.3">
      <c r="A1813" s="2" t="s">
        <v>209</v>
      </c>
      <c r="B1813" s="12">
        <v>89</v>
      </c>
      <c r="C1813" s="12">
        <v>4347</v>
      </c>
      <c r="D1813" s="50">
        <f t="shared" si="42"/>
        <v>386883</v>
      </c>
      <c r="E1813" s="10"/>
      <c r="F1813" s="10"/>
      <c r="G1813" s="10"/>
    </row>
    <row r="1814" spans="1:7" ht="18.75" x14ac:dyDescent="0.3">
      <c r="A1814" s="2" t="s">
        <v>156</v>
      </c>
      <c r="B1814" s="12">
        <v>60</v>
      </c>
      <c r="C1814" s="12">
        <v>4347</v>
      </c>
      <c r="D1814" s="50">
        <f t="shared" si="42"/>
        <v>260820</v>
      </c>
      <c r="E1814" s="10"/>
      <c r="F1814" s="10"/>
      <c r="G1814" s="10"/>
    </row>
    <row r="1815" spans="1:7" ht="18.75" x14ac:dyDescent="0.3">
      <c r="A1815" s="2" t="s">
        <v>941</v>
      </c>
      <c r="B1815" s="12">
        <v>43</v>
      </c>
      <c r="C1815" s="12">
        <v>4347</v>
      </c>
      <c r="D1815" s="50">
        <f t="shared" si="42"/>
        <v>186921</v>
      </c>
      <c r="E1815" s="10"/>
      <c r="F1815" s="10"/>
      <c r="G1815" s="14">
        <f>E1810-D1825-D1826-D1827-D1828-D1829-D1830-D1831-D1832-D1833-D1834-D1835-D1836-D1837-D1838-D1839-D1840-D1841-D1842-D1843-D1844-D1845-D1846-D1847-D1847</f>
        <v>0</v>
      </c>
    </row>
    <row r="1816" spans="1:7" ht="18.75" x14ac:dyDescent="0.3">
      <c r="A1816" s="2" t="s">
        <v>70</v>
      </c>
      <c r="B1816" s="12">
        <v>64</v>
      </c>
      <c r="C1816" s="12">
        <v>4347</v>
      </c>
      <c r="D1816" s="50">
        <f t="shared" si="42"/>
        <v>278208</v>
      </c>
      <c r="E1816" s="10"/>
      <c r="F1816" s="10"/>
      <c r="G1816" s="10"/>
    </row>
    <row r="1817" spans="1:7" ht="18.75" x14ac:dyDescent="0.3">
      <c r="A1817" s="2" t="s">
        <v>75</v>
      </c>
      <c r="B1817" s="12">
        <v>66</v>
      </c>
      <c r="C1817" s="12">
        <v>4347</v>
      </c>
      <c r="D1817" s="50">
        <f t="shared" si="42"/>
        <v>286902</v>
      </c>
      <c r="E1817" s="10"/>
      <c r="F1817" s="10"/>
    </row>
    <row r="1818" spans="1:7" ht="18.75" x14ac:dyDescent="0.3">
      <c r="A1818" s="2" t="s">
        <v>67</v>
      </c>
      <c r="B1818" s="15">
        <v>74</v>
      </c>
      <c r="C1818" s="12">
        <v>4347</v>
      </c>
      <c r="D1818" s="50">
        <f t="shared" si="42"/>
        <v>321678</v>
      </c>
      <c r="E1818" s="10"/>
      <c r="F1818" s="10"/>
    </row>
    <row r="1819" spans="1:7" ht="18.75" x14ac:dyDescent="0.3">
      <c r="A1819" s="2"/>
      <c r="B1819" s="15"/>
      <c r="C1819" s="3"/>
      <c r="D1819" s="50">
        <f t="shared" si="42"/>
        <v>0</v>
      </c>
      <c r="E1819" s="10"/>
      <c r="F1819" s="16"/>
    </row>
    <row r="1820" spans="1:7" ht="18.75" x14ac:dyDescent="0.3">
      <c r="A1820" s="2"/>
      <c r="B1820" s="15"/>
      <c r="C1820" s="3"/>
      <c r="D1820" s="50"/>
      <c r="E1820" s="10"/>
      <c r="F1820" s="17"/>
    </row>
    <row r="1821" spans="1:7" ht="18.75" x14ac:dyDescent="0.3">
      <c r="A1821" s="2"/>
      <c r="B1821" s="12"/>
      <c r="C1821" s="3"/>
      <c r="D1821" s="50"/>
      <c r="E1821" s="10"/>
      <c r="F1821" s="10"/>
    </row>
    <row r="1822" spans="1:7" ht="18.75" x14ac:dyDescent="0.3">
      <c r="A1822" s="2"/>
      <c r="B1822" s="12"/>
      <c r="C1822" s="3"/>
      <c r="D1822" s="50"/>
      <c r="E1822" s="10"/>
      <c r="F1822" s="10"/>
    </row>
    <row r="1823" spans="1:7" ht="18.75" x14ac:dyDescent="0.3">
      <c r="A1823" s="18"/>
      <c r="B1823" s="19"/>
      <c r="C1823" s="20"/>
      <c r="D1823" s="13"/>
      <c r="E1823" s="10"/>
      <c r="F1823" s="10"/>
    </row>
    <row r="1824" spans="1:7" ht="18.75" x14ac:dyDescent="0.3">
      <c r="A1824" s="1" t="s">
        <v>10</v>
      </c>
      <c r="B1824" s="1" t="s">
        <v>11</v>
      </c>
      <c r="C1824" s="1" t="s">
        <v>12</v>
      </c>
      <c r="D1824" s="1" t="s">
        <v>13</v>
      </c>
      <c r="E1824" s="1" t="s">
        <v>14</v>
      </c>
      <c r="F1824" s="10"/>
    </row>
    <row r="1825" spans="1:6" ht="18.75" x14ac:dyDescent="0.3">
      <c r="A1825" s="3" t="s">
        <v>113</v>
      </c>
      <c r="B1825" s="101" t="s">
        <v>9</v>
      </c>
      <c r="C1825" s="3">
        <v>4347</v>
      </c>
      <c r="D1825" s="58">
        <v>252126</v>
      </c>
      <c r="E1825" s="3"/>
      <c r="F1825" s="10"/>
    </row>
    <row r="1826" spans="1:6" ht="18.75" x14ac:dyDescent="0.3">
      <c r="A1826" s="3" t="s">
        <v>15</v>
      </c>
      <c r="B1826" s="101" t="s">
        <v>940</v>
      </c>
      <c r="C1826" s="3">
        <v>4347</v>
      </c>
      <c r="D1826" s="58">
        <v>373842</v>
      </c>
      <c r="E1826" s="5"/>
      <c r="F1826" s="10"/>
    </row>
    <row r="1827" spans="1:6" ht="18.75" x14ac:dyDescent="0.3">
      <c r="A1827" s="3" t="s">
        <v>42</v>
      </c>
      <c r="B1827" s="101" t="s">
        <v>209</v>
      </c>
      <c r="C1827" s="3">
        <v>4347</v>
      </c>
      <c r="D1827" s="58">
        <v>386883</v>
      </c>
      <c r="E1827" s="5"/>
      <c r="F1827" s="10"/>
    </row>
    <row r="1828" spans="1:6" ht="18.75" x14ac:dyDescent="0.3">
      <c r="A1828" s="3" t="s">
        <v>17</v>
      </c>
      <c r="B1828" s="101" t="s">
        <v>932</v>
      </c>
      <c r="C1828" s="3">
        <v>4347</v>
      </c>
      <c r="D1828" s="58">
        <v>278208</v>
      </c>
      <c r="E1828" s="3"/>
      <c r="F1828" s="10"/>
    </row>
    <row r="1829" spans="1:6" ht="18.75" x14ac:dyDescent="0.3">
      <c r="A1829" s="6" t="s">
        <v>17</v>
      </c>
      <c r="B1829" s="101" t="s">
        <v>61</v>
      </c>
      <c r="C1829" s="3">
        <v>4347</v>
      </c>
      <c r="D1829" s="58">
        <v>286902</v>
      </c>
      <c r="E1829" s="5"/>
      <c r="F1829" s="10"/>
    </row>
    <row r="1830" spans="1:6" ht="18.75" x14ac:dyDescent="0.3">
      <c r="A1830" s="3" t="s">
        <v>332</v>
      </c>
      <c r="B1830" s="101" t="s">
        <v>156</v>
      </c>
      <c r="C1830" s="3">
        <v>4347</v>
      </c>
      <c r="D1830" s="58">
        <v>260820</v>
      </c>
      <c r="E1830" s="5"/>
      <c r="F1830" s="10"/>
    </row>
    <row r="1831" spans="1:6" ht="18.75" x14ac:dyDescent="0.3">
      <c r="A1831" s="3" t="s">
        <v>104</v>
      </c>
      <c r="B1831" s="101" t="s">
        <v>101</v>
      </c>
      <c r="C1831" s="3">
        <v>4347</v>
      </c>
      <c r="D1831" s="58">
        <v>186921</v>
      </c>
      <c r="E1831" s="5"/>
      <c r="F1831" s="10"/>
    </row>
    <row r="1832" spans="1:6" ht="18.75" x14ac:dyDescent="0.3">
      <c r="A1832" s="3" t="s">
        <v>67</v>
      </c>
      <c r="B1832" s="101" t="s">
        <v>67</v>
      </c>
      <c r="C1832" s="3">
        <v>4347</v>
      </c>
      <c r="D1832" s="58">
        <v>321678</v>
      </c>
      <c r="E1832" s="3"/>
      <c r="F1832" s="10"/>
    </row>
    <row r="1833" spans="1:6" ht="18.75" x14ac:dyDescent="0.3">
      <c r="A1833" s="3"/>
      <c r="B1833" s="4"/>
      <c r="C1833" s="3"/>
      <c r="D1833" s="58"/>
      <c r="E1833" s="3"/>
      <c r="F1833" s="10"/>
    </row>
    <row r="1834" spans="1:6" ht="18.75" x14ac:dyDescent="0.3">
      <c r="A1834" s="3"/>
      <c r="B1834" s="4"/>
      <c r="C1834" s="3"/>
      <c r="D1834" s="58"/>
      <c r="E1834" s="3"/>
      <c r="F1834" s="10"/>
    </row>
    <row r="1835" spans="1:6" ht="18.75" x14ac:dyDescent="0.3">
      <c r="A1835" s="3"/>
      <c r="B1835" s="4"/>
      <c r="C1835" s="3"/>
      <c r="D1835" s="58"/>
      <c r="E1835" s="3"/>
      <c r="F1835" s="10"/>
    </row>
    <row r="1836" spans="1:6" ht="18.75" x14ac:dyDescent="0.3">
      <c r="A1836" s="3"/>
      <c r="B1836" s="4"/>
      <c r="C1836" s="3"/>
      <c r="D1836" s="58"/>
      <c r="E1836" s="3"/>
      <c r="F1836" s="10"/>
    </row>
    <row r="1837" spans="1:6" ht="18.75" x14ac:dyDescent="0.3">
      <c r="A1837" s="3"/>
      <c r="B1837" s="4"/>
      <c r="C1837" s="3"/>
      <c r="D1837" s="5"/>
      <c r="E1837" s="3" t="s">
        <v>249</v>
      </c>
      <c r="F1837" s="10"/>
    </row>
    <row r="1838" spans="1:6" ht="18.75" x14ac:dyDescent="0.3">
      <c r="A1838" s="3"/>
      <c r="B1838" s="4"/>
      <c r="C1838" s="3"/>
      <c r="D1838" s="5"/>
      <c r="E1838" s="3"/>
      <c r="F1838" s="10"/>
    </row>
    <row r="1839" spans="1:6" ht="18.75" x14ac:dyDescent="0.3">
      <c r="A1839" s="3"/>
      <c r="B1839" s="4"/>
      <c r="C1839" s="3"/>
      <c r="D1839" s="5"/>
      <c r="E1839" s="3"/>
      <c r="F1839" s="10"/>
    </row>
    <row r="1840" spans="1:6" ht="18.75" x14ac:dyDescent="0.3">
      <c r="A1840" s="3"/>
      <c r="B1840" s="4"/>
      <c r="C1840" s="5"/>
      <c r="D1840" s="5"/>
      <c r="E1840" s="3"/>
      <c r="F1840" s="10"/>
    </row>
    <row r="1841" spans="1:7" ht="18.75" x14ac:dyDescent="0.3">
      <c r="A1841" s="3"/>
      <c r="B1841" s="4"/>
      <c r="C1841" s="5"/>
      <c r="D1841" s="5"/>
      <c r="E1841" s="3"/>
    </row>
    <row r="1842" spans="1:7" ht="18.75" x14ac:dyDescent="0.3">
      <c r="A1842" s="3"/>
      <c r="B1842" s="4"/>
      <c r="C1842" s="5"/>
      <c r="D1842" s="5"/>
      <c r="E1842" s="3"/>
    </row>
    <row r="1843" spans="1:7" ht="18.75" x14ac:dyDescent="0.3">
      <c r="A1843" s="3"/>
      <c r="B1843" s="4"/>
      <c r="C1843" s="5"/>
      <c r="D1843" s="5"/>
      <c r="E1843" s="3"/>
    </row>
    <row r="1844" spans="1:7" ht="18.75" x14ac:dyDescent="0.3">
      <c r="A1844" s="3"/>
      <c r="B1844" s="4"/>
      <c r="C1844" s="5"/>
      <c r="D1844" s="5"/>
      <c r="E1844" s="3"/>
    </row>
    <row r="1845" spans="1:7" ht="18.75" x14ac:dyDescent="0.3">
      <c r="A1845" s="3"/>
      <c r="B1845" s="4"/>
      <c r="C1845" s="5"/>
      <c r="D1845" s="5"/>
      <c r="E1845" s="3"/>
    </row>
    <row r="1846" spans="1:7" ht="18.75" x14ac:dyDescent="0.3">
      <c r="A1846" s="3"/>
      <c r="B1846" s="4"/>
      <c r="C1846" s="5"/>
      <c r="D1846" s="5"/>
      <c r="E1846" s="37"/>
    </row>
    <row r="1849" spans="1:7" ht="18.75" x14ac:dyDescent="0.3">
      <c r="A1849" s="35" t="s">
        <v>0</v>
      </c>
      <c r="B1849" s="35" t="s">
        <v>1</v>
      </c>
      <c r="C1849" s="35" t="s">
        <v>2</v>
      </c>
      <c r="D1849" s="35" t="s">
        <v>3</v>
      </c>
      <c r="E1849" s="35" t="s">
        <v>4</v>
      </c>
      <c r="F1849" s="35" t="s">
        <v>5</v>
      </c>
      <c r="G1849" s="35" t="s">
        <v>6</v>
      </c>
    </row>
    <row r="1850" spans="1:7" ht="18.75" x14ac:dyDescent="0.3">
      <c r="A1850" s="22">
        <v>2159</v>
      </c>
      <c r="B1850" s="22" t="s">
        <v>942</v>
      </c>
      <c r="C1850" s="23" t="s">
        <v>152</v>
      </c>
      <c r="D1850" s="24">
        <v>1140</v>
      </c>
      <c r="E1850" s="22">
        <v>900</v>
      </c>
      <c r="F1850" s="25" t="s">
        <v>286</v>
      </c>
      <c r="G1850" s="26">
        <f>D1850*E1850</f>
        <v>1026000</v>
      </c>
    </row>
    <row r="1851" spans="1:7" ht="18.75" x14ac:dyDescent="0.3">
      <c r="A1851" s="1" t="s">
        <v>7</v>
      </c>
      <c r="B1851" s="7">
        <v>6.6</v>
      </c>
      <c r="C1851" s="48" t="s">
        <v>3</v>
      </c>
      <c r="D1851" s="48" t="s">
        <v>8</v>
      </c>
      <c r="E1851" s="46">
        <v>615600</v>
      </c>
      <c r="F1851" s="10"/>
      <c r="G1851" s="11">
        <v>410400</v>
      </c>
    </row>
    <row r="1852" spans="1:7" ht="18.75" x14ac:dyDescent="0.3">
      <c r="A1852" s="2" t="s">
        <v>9</v>
      </c>
      <c r="B1852" s="12">
        <v>58</v>
      </c>
      <c r="C1852" s="12">
        <v>1140</v>
      </c>
      <c r="D1852" s="50">
        <f>B1852*C1852</f>
        <v>66120</v>
      </c>
      <c r="E1852" s="21">
        <v>0.6</v>
      </c>
      <c r="F1852" s="10"/>
      <c r="G1852" s="21">
        <v>0.4</v>
      </c>
    </row>
    <row r="1853" spans="1:7" ht="18.75" x14ac:dyDescent="0.3">
      <c r="A1853" s="2" t="s">
        <v>22</v>
      </c>
      <c r="B1853" s="12">
        <v>65</v>
      </c>
      <c r="C1853" s="12">
        <v>1140</v>
      </c>
      <c r="D1853" s="50">
        <f t="shared" ref="D1853" si="43">B1853*C1853</f>
        <v>74100</v>
      </c>
      <c r="E1853" s="10"/>
      <c r="F1853" s="10"/>
      <c r="G1853" s="10"/>
    </row>
    <row r="1854" spans="1:7" ht="18.75" x14ac:dyDescent="0.3">
      <c r="A1854" s="2" t="s">
        <v>23</v>
      </c>
      <c r="B1854" s="12">
        <v>60</v>
      </c>
      <c r="C1854" s="12">
        <v>1140</v>
      </c>
      <c r="D1854" s="50">
        <f>B1854*C1854</f>
        <v>68400</v>
      </c>
      <c r="E1854" s="10"/>
      <c r="F1854" s="10"/>
      <c r="G1854" s="10"/>
    </row>
    <row r="1855" spans="1:7" ht="18.75" x14ac:dyDescent="0.3">
      <c r="A1855" s="2" t="s">
        <v>74</v>
      </c>
      <c r="B1855" s="12">
        <v>68</v>
      </c>
      <c r="C1855" s="12">
        <v>1140</v>
      </c>
      <c r="D1855" s="50">
        <f t="shared" ref="D1855:D1860" si="44">B1855*C1855</f>
        <v>77520</v>
      </c>
      <c r="E1855" s="10"/>
      <c r="F1855" s="10"/>
      <c r="G1855" s="10"/>
    </row>
    <row r="1856" spans="1:7" ht="18.75" x14ac:dyDescent="0.3">
      <c r="A1856" s="2" t="s">
        <v>24</v>
      </c>
      <c r="B1856" s="12">
        <v>66</v>
      </c>
      <c r="C1856" s="12">
        <v>1140</v>
      </c>
      <c r="D1856" s="50">
        <f t="shared" si="44"/>
        <v>75240</v>
      </c>
      <c r="E1856" s="10"/>
      <c r="F1856" s="10"/>
      <c r="G1856" s="14">
        <f>E1851-D1866-D1867-D1868-D1869-D1870-D1871-D1872-D1873-D1874-D1875-D1876-D1877-D1878-D1879-D1880-D1881-D1882-D1883-D1884-D1885-D1886-D1887-D1888-D1888</f>
        <v>615600</v>
      </c>
    </row>
    <row r="1857" spans="1:7" ht="18.75" x14ac:dyDescent="0.3">
      <c r="A1857" s="2" t="s">
        <v>25</v>
      </c>
      <c r="B1857" s="12">
        <v>100</v>
      </c>
      <c r="C1857" s="12">
        <v>1140</v>
      </c>
      <c r="D1857" s="50">
        <f t="shared" si="44"/>
        <v>114000</v>
      </c>
      <c r="E1857" s="10"/>
      <c r="F1857" s="10"/>
      <c r="G1857" s="10"/>
    </row>
    <row r="1858" spans="1:7" ht="18.75" x14ac:dyDescent="0.3">
      <c r="A1858" s="2" t="s">
        <v>26</v>
      </c>
      <c r="B1858" s="12">
        <v>123</v>
      </c>
      <c r="C1858" s="12">
        <v>1140</v>
      </c>
      <c r="D1858" s="50">
        <f t="shared" si="44"/>
        <v>140220</v>
      </c>
      <c r="E1858" s="10"/>
      <c r="F1858" s="10"/>
    </row>
    <row r="1859" spans="1:7" ht="18.75" x14ac:dyDescent="0.3">
      <c r="A1859" s="2"/>
      <c r="B1859" s="12"/>
      <c r="C1859" s="12"/>
      <c r="D1859" s="50">
        <f t="shared" si="44"/>
        <v>0</v>
      </c>
      <c r="E1859" s="10"/>
      <c r="F1859" s="10"/>
    </row>
    <row r="1860" spans="1:7" ht="18.75" x14ac:dyDescent="0.3">
      <c r="A1860" s="2"/>
      <c r="B1860" s="12"/>
      <c r="C1860" s="12"/>
      <c r="D1860" s="50">
        <f t="shared" si="44"/>
        <v>0</v>
      </c>
      <c r="E1860" s="10"/>
      <c r="F1860" s="16"/>
    </row>
    <row r="1861" spans="1:7" ht="18.75" x14ac:dyDescent="0.3">
      <c r="A1861" s="2"/>
      <c r="B1861" s="12"/>
      <c r="C1861" s="12"/>
      <c r="D1861" s="50"/>
      <c r="E1861" s="10"/>
      <c r="F1861" s="17"/>
    </row>
    <row r="1862" spans="1:7" ht="18.75" x14ac:dyDescent="0.3">
      <c r="A1862" s="2"/>
      <c r="B1862" s="12"/>
      <c r="C1862" s="3"/>
      <c r="D1862" s="50"/>
      <c r="E1862" s="10"/>
      <c r="F1862" s="10"/>
    </row>
    <row r="1863" spans="1:7" ht="18.75" x14ac:dyDescent="0.3">
      <c r="A1863" s="2"/>
      <c r="B1863" s="12"/>
      <c r="C1863" s="3"/>
      <c r="D1863" s="50"/>
      <c r="E1863" s="10"/>
      <c r="F1863" s="10"/>
    </row>
    <row r="1864" spans="1:7" ht="18.75" x14ac:dyDescent="0.3">
      <c r="A1864" s="18"/>
      <c r="B1864" s="19"/>
      <c r="C1864" s="20"/>
      <c r="D1864" s="13"/>
      <c r="E1864" s="10"/>
      <c r="F1864" s="10"/>
    </row>
    <row r="1865" spans="1:7" ht="18.75" x14ac:dyDescent="0.3">
      <c r="A1865" s="1" t="s">
        <v>10</v>
      </c>
      <c r="B1865" s="1" t="s">
        <v>11</v>
      </c>
      <c r="C1865" s="1" t="s">
        <v>12</v>
      </c>
      <c r="D1865" s="1" t="s">
        <v>13</v>
      </c>
      <c r="E1865" s="1" t="s">
        <v>14</v>
      </c>
      <c r="F1865" s="10"/>
    </row>
    <row r="1866" spans="1:7" ht="18.75" x14ac:dyDescent="0.3">
      <c r="A1866" s="3" t="s">
        <v>104</v>
      </c>
      <c r="B1866" s="4" t="s">
        <v>174</v>
      </c>
      <c r="C1866" s="3"/>
      <c r="D1866" s="3"/>
      <c r="E1866" s="3"/>
      <c r="F1866" s="10"/>
    </row>
    <row r="1867" spans="1:7" ht="18.75" x14ac:dyDescent="0.3">
      <c r="A1867" s="3" t="s">
        <v>27</v>
      </c>
      <c r="B1867" s="4" t="s">
        <v>209</v>
      </c>
      <c r="C1867" s="3"/>
      <c r="D1867" s="3"/>
      <c r="E1867" s="5"/>
      <c r="F1867" s="10"/>
    </row>
    <row r="1868" spans="1:7" ht="18.75" x14ac:dyDescent="0.3">
      <c r="A1868" s="3"/>
      <c r="B1868" s="4"/>
      <c r="C1868" s="3"/>
      <c r="D1868" s="3"/>
      <c r="E1868" s="5"/>
      <c r="F1868" s="10"/>
    </row>
    <row r="1869" spans="1:7" ht="18.75" x14ac:dyDescent="0.3">
      <c r="A1869" s="3"/>
      <c r="B1869" s="4"/>
      <c r="C1869" s="3"/>
      <c r="D1869" s="3"/>
      <c r="E1869" s="3"/>
      <c r="F1869" s="10"/>
    </row>
    <row r="1870" spans="1:7" ht="18.75" x14ac:dyDescent="0.3">
      <c r="A1870" s="3"/>
      <c r="B1870" s="4"/>
      <c r="C1870" s="3"/>
      <c r="D1870" s="3"/>
      <c r="E1870" s="5"/>
      <c r="F1870" s="10"/>
    </row>
    <row r="1871" spans="1:7" ht="18.75" x14ac:dyDescent="0.3">
      <c r="A1871" s="3"/>
      <c r="B1871" s="4"/>
      <c r="C1871" s="3"/>
      <c r="D1871" s="3"/>
      <c r="E1871" s="5"/>
      <c r="F1871" s="10"/>
    </row>
    <row r="1872" spans="1:7" ht="18.75" x14ac:dyDescent="0.3">
      <c r="A1872" s="3"/>
      <c r="B1872" s="4"/>
      <c r="C1872" s="3"/>
      <c r="D1872" s="3"/>
      <c r="E1872" s="5"/>
      <c r="F1872" s="10"/>
    </row>
    <row r="1873" spans="1:6" ht="18.75" x14ac:dyDescent="0.3">
      <c r="A1873" s="3"/>
      <c r="B1873" s="4"/>
      <c r="C1873" s="3"/>
      <c r="D1873" s="3"/>
      <c r="E1873" s="3"/>
      <c r="F1873" s="10"/>
    </row>
    <row r="1874" spans="1:6" ht="18.75" x14ac:dyDescent="0.3">
      <c r="A1874" s="3"/>
      <c r="B1874" s="4"/>
      <c r="C1874" s="3"/>
      <c r="D1874" s="3"/>
      <c r="E1874" s="3"/>
      <c r="F1874" s="10"/>
    </row>
    <row r="1875" spans="1:6" ht="18.75" x14ac:dyDescent="0.3">
      <c r="A1875" s="3"/>
      <c r="B1875" s="4"/>
      <c r="C1875" s="3"/>
      <c r="D1875" s="3"/>
      <c r="E1875" s="3"/>
      <c r="F1875" s="10"/>
    </row>
    <row r="1876" spans="1:6" ht="18.75" x14ac:dyDescent="0.3">
      <c r="A1876" s="3"/>
      <c r="B1876" s="4"/>
      <c r="C1876" s="3"/>
      <c r="D1876" s="3"/>
      <c r="E1876" s="3"/>
      <c r="F1876" s="10"/>
    </row>
    <row r="1877" spans="1:6" ht="18.75" x14ac:dyDescent="0.3">
      <c r="A1877" s="3"/>
      <c r="B1877" s="4"/>
      <c r="C1877" s="3"/>
      <c r="D1877" s="3"/>
      <c r="E1877" s="3"/>
      <c r="F1877" s="100"/>
    </row>
    <row r="1878" spans="1:6" ht="18.75" x14ac:dyDescent="0.3">
      <c r="A1878" s="3"/>
      <c r="B1878" s="4"/>
      <c r="C1878" s="3"/>
      <c r="D1878" s="3"/>
      <c r="E1878" s="3"/>
      <c r="F1878" s="10"/>
    </row>
    <row r="1879" spans="1:6" ht="18.75" x14ac:dyDescent="0.3">
      <c r="A1879" s="3"/>
      <c r="B1879" s="4"/>
      <c r="C1879" s="3"/>
      <c r="D1879" s="3"/>
      <c r="E1879" s="3"/>
      <c r="F1879" s="10"/>
    </row>
    <row r="1880" spans="1:6" ht="18.75" x14ac:dyDescent="0.3">
      <c r="A1880" s="3"/>
      <c r="B1880" s="4"/>
      <c r="C1880" s="3"/>
      <c r="D1880" s="5"/>
      <c r="E1880" s="3"/>
      <c r="F1880" s="10"/>
    </row>
    <row r="1881" spans="1:6" ht="18.75" x14ac:dyDescent="0.3">
      <c r="A1881" s="3"/>
      <c r="B1881" s="4"/>
      <c r="C1881" s="5"/>
      <c r="D1881" s="5"/>
      <c r="E1881" s="3"/>
      <c r="F1881" s="10"/>
    </row>
    <row r="1882" spans="1:6" ht="18.75" x14ac:dyDescent="0.3">
      <c r="A1882" s="3"/>
      <c r="B1882" s="4"/>
      <c r="C1882" s="5"/>
      <c r="D1882" s="5"/>
      <c r="E1882" s="3"/>
    </row>
    <row r="1883" spans="1:6" ht="18.75" x14ac:dyDescent="0.3">
      <c r="A1883" s="3"/>
      <c r="B1883" s="4"/>
      <c r="C1883" s="5"/>
      <c r="D1883" s="5"/>
      <c r="E1883" s="3"/>
    </row>
    <row r="1884" spans="1:6" ht="18.75" x14ac:dyDescent="0.3">
      <c r="A1884" s="3"/>
      <c r="B1884" s="4"/>
      <c r="C1884" s="5"/>
      <c r="D1884" s="5"/>
      <c r="E1884" s="3"/>
    </row>
    <row r="1885" spans="1:6" ht="18.75" x14ac:dyDescent="0.3">
      <c r="A1885" s="3"/>
      <c r="B1885" s="4"/>
      <c r="C1885" s="5"/>
      <c r="D1885" s="5"/>
      <c r="E1885" s="3"/>
    </row>
    <row r="1886" spans="1:6" ht="18.75" x14ac:dyDescent="0.3">
      <c r="A1886" s="3"/>
      <c r="B1886" s="4"/>
      <c r="C1886" s="5"/>
      <c r="D1886" s="5"/>
      <c r="E1886" s="3"/>
    </row>
    <row r="1887" spans="1:6" ht="18.75" x14ac:dyDescent="0.3">
      <c r="A1887" s="3"/>
      <c r="B1887" s="4"/>
      <c r="C1887" s="5"/>
      <c r="D1887" s="5"/>
      <c r="E1887" s="37"/>
    </row>
    <row r="1888" spans="1:6" ht="18.75" x14ac:dyDescent="0.3">
      <c r="A1888" s="3"/>
      <c r="B1888" s="4"/>
      <c r="C1888" s="5"/>
      <c r="D1888" s="5"/>
      <c r="E1888" s="37"/>
    </row>
    <row r="1892" spans="1:7" ht="18.75" x14ac:dyDescent="0.3">
      <c r="A1892" s="35" t="s">
        <v>0</v>
      </c>
      <c r="B1892" s="35" t="s">
        <v>1</v>
      </c>
      <c r="C1892" s="35" t="s">
        <v>2</v>
      </c>
      <c r="D1892" s="35" t="s">
        <v>3</v>
      </c>
      <c r="E1892" s="35" t="s">
        <v>4</v>
      </c>
      <c r="F1892" s="35" t="s">
        <v>5</v>
      </c>
      <c r="G1892" s="35" t="s">
        <v>6</v>
      </c>
    </row>
    <row r="1893" spans="1:7" ht="18.75" x14ac:dyDescent="0.3">
      <c r="A1893" s="22">
        <v>2160</v>
      </c>
      <c r="B1893" s="22" t="s">
        <v>942</v>
      </c>
      <c r="C1893" s="23" t="s">
        <v>746</v>
      </c>
      <c r="D1893" s="24">
        <v>1141</v>
      </c>
      <c r="E1893" s="22">
        <v>900</v>
      </c>
      <c r="F1893" s="25" t="s">
        <v>286</v>
      </c>
      <c r="G1893" s="26">
        <f>D1893*E1893</f>
        <v>1026900</v>
      </c>
    </row>
    <row r="1894" spans="1:7" ht="18.75" x14ac:dyDescent="0.3">
      <c r="A1894" s="1" t="s">
        <v>7</v>
      </c>
      <c r="B1894" s="7">
        <v>6.6</v>
      </c>
      <c r="C1894" s="48" t="s">
        <v>3</v>
      </c>
      <c r="D1894" s="48" t="s">
        <v>8</v>
      </c>
      <c r="E1894" s="46">
        <v>616140</v>
      </c>
      <c r="F1894" s="10"/>
      <c r="G1894" s="11">
        <v>410760</v>
      </c>
    </row>
    <row r="1895" spans="1:7" ht="18.75" x14ac:dyDescent="0.3">
      <c r="A1895" s="2" t="s">
        <v>792</v>
      </c>
      <c r="B1895" s="12">
        <v>80</v>
      </c>
      <c r="C1895" s="12">
        <v>759</v>
      </c>
      <c r="D1895" s="50">
        <f>B1895*C1895</f>
        <v>60720</v>
      </c>
      <c r="E1895" s="21">
        <v>0.6</v>
      </c>
      <c r="F1895" s="10"/>
      <c r="G1895" s="21">
        <v>0.4</v>
      </c>
    </row>
    <row r="1896" spans="1:7" ht="18.75" x14ac:dyDescent="0.3">
      <c r="A1896" s="2" t="s">
        <v>793</v>
      </c>
      <c r="B1896" s="12">
        <v>64</v>
      </c>
      <c r="C1896" s="12"/>
      <c r="D1896" s="50">
        <f t="shared" ref="D1896" si="45">B1896*C1896</f>
        <v>0</v>
      </c>
      <c r="E1896" s="10"/>
      <c r="F1896" s="10"/>
      <c r="G1896" s="10"/>
    </row>
    <row r="1897" spans="1:7" ht="18.75" x14ac:dyDescent="0.3">
      <c r="A1897" s="2" t="s">
        <v>24</v>
      </c>
      <c r="B1897" s="12">
        <v>68</v>
      </c>
      <c r="C1897" s="12"/>
      <c r="D1897" s="50">
        <f>B1897*C1897</f>
        <v>0</v>
      </c>
      <c r="E1897" s="10"/>
      <c r="F1897" s="10"/>
      <c r="G1897" s="10"/>
    </row>
    <row r="1898" spans="1:7" ht="18.75" x14ac:dyDescent="0.3">
      <c r="A1898" s="2" t="s">
        <v>817</v>
      </c>
      <c r="B1898" s="12">
        <v>55</v>
      </c>
      <c r="C1898" s="12"/>
      <c r="D1898" s="50">
        <f t="shared" ref="D1898:D1903" si="46">B1898*C1898</f>
        <v>0</v>
      </c>
      <c r="E1898" s="10"/>
      <c r="F1898" s="10"/>
      <c r="G1898" s="10"/>
    </row>
    <row r="1899" spans="1:7" ht="18.75" x14ac:dyDescent="0.3">
      <c r="A1899" s="2" t="s">
        <v>818</v>
      </c>
      <c r="B1899" s="12">
        <v>60</v>
      </c>
      <c r="C1899" s="12">
        <v>1141</v>
      </c>
      <c r="D1899" s="50">
        <f t="shared" si="46"/>
        <v>68460</v>
      </c>
      <c r="E1899" s="10"/>
      <c r="F1899" s="10"/>
      <c r="G1899" s="14">
        <f>E1894-D1909-D1910-D1911-D1912-D1913-D1914-D1915-D1916-D1917-D1918-D1919-D1920-D1921-D1922-D1923-D1924-D1925-D1926-D1927-D1928-D1929-D1930-D1931-D1931</f>
        <v>456560</v>
      </c>
    </row>
    <row r="1900" spans="1:7" ht="18.75" x14ac:dyDescent="0.3">
      <c r="A1900" s="2" t="s">
        <v>880</v>
      </c>
      <c r="B1900" s="12">
        <v>43</v>
      </c>
      <c r="C1900" s="12"/>
      <c r="D1900" s="50">
        <f t="shared" si="46"/>
        <v>0</v>
      </c>
      <c r="E1900" s="10"/>
      <c r="F1900" s="10"/>
      <c r="G1900" s="10"/>
    </row>
    <row r="1901" spans="1:7" ht="18.75" x14ac:dyDescent="0.3">
      <c r="A1901" s="2" t="s">
        <v>838</v>
      </c>
      <c r="B1901" s="12">
        <v>65</v>
      </c>
      <c r="C1901" s="12"/>
      <c r="D1901" s="50">
        <f t="shared" si="46"/>
        <v>0</v>
      </c>
      <c r="E1901" s="10"/>
      <c r="F1901" s="10"/>
    </row>
    <row r="1902" spans="1:7" ht="18.75" x14ac:dyDescent="0.3">
      <c r="A1902" s="2" t="s">
        <v>26</v>
      </c>
      <c r="B1902" s="12">
        <v>105</v>
      </c>
      <c r="C1902" s="12"/>
      <c r="D1902" s="50">
        <f t="shared" si="46"/>
        <v>0</v>
      </c>
      <c r="E1902" s="10"/>
      <c r="F1902" s="10"/>
    </row>
    <row r="1903" spans="1:7" ht="18.75" x14ac:dyDescent="0.3">
      <c r="A1903" s="2"/>
      <c r="B1903" s="12"/>
      <c r="C1903" s="12"/>
      <c r="D1903" s="50">
        <f t="shared" si="46"/>
        <v>0</v>
      </c>
      <c r="E1903" s="10"/>
      <c r="F1903" s="16"/>
    </row>
    <row r="1904" spans="1:7" ht="18.75" x14ac:dyDescent="0.3">
      <c r="A1904" s="2"/>
      <c r="B1904" s="12"/>
      <c r="C1904" s="12"/>
      <c r="D1904" s="50"/>
      <c r="E1904" s="10"/>
      <c r="F1904" s="17"/>
    </row>
    <row r="1905" spans="1:6" ht="18.75" x14ac:dyDescent="0.3">
      <c r="A1905" s="2"/>
      <c r="B1905" s="12"/>
      <c r="C1905" s="3"/>
      <c r="D1905" s="50"/>
      <c r="E1905" s="10"/>
      <c r="F1905" s="10"/>
    </row>
    <row r="1906" spans="1:6" ht="18.75" x14ac:dyDescent="0.3">
      <c r="A1906" s="2"/>
      <c r="B1906" s="12"/>
      <c r="C1906" s="3"/>
      <c r="D1906" s="50"/>
      <c r="E1906" s="10"/>
      <c r="F1906" s="10"/>
    </row>
    <row r="1907" spans="1:6" ht="18.75" x14ac:dyDescent="0.3">
      <c r="A1907" s="18"/>
      <c r="B1907" s="19"/>
      <c r="D1907" s="13"/>
      <c r="E1907" s="10"/>
      <c r="F1907" s="10"/>
    </row>
    <row r="1908" spans="1:6" ht="18.75" x14ac:dyDescent="0.3">
      <c r="A1908" s="1" t="s">
        <v>10</v>
      </c>
      <c r="B1908" s="1" t="s">
        <v>11</v>
      </c>
      <c r="C1908" s="1" t="s">
        <v>12</v>
      </c>
      <c r="D1908" s="1" t="s">
        <v>13</v>
      </c>
      <c r="E1908" s="1" t="s">
        <v>14</v>
      </c>
      <c r="F1908" s="10"/>
    </row>
    <row r="1909" spans="1:6" ht="18.75" x14ac:dyDescent="0.3">
      <c r="A1909" s="3" t="s">
        <v>42</v>
      </c>
      <c r="B1909" s="4" t="s">
        <v>943</v>
      </c>
      <c r="C1909" s="20">
        <v>759</v>
      </c>
      <c r="D1909" s="3">
        <v>60720</v>
      </c>
      <c r="E1909" s="3"/>
      <c r="F1909" s="10"/>
    </row>
    <row r="1910" spans="1:6" ht="18.75" x14ac:dyDescent="0.3">
      <c r="A1910" s="3" t="s">
        <v>15</v>
      </c>
      <c r="B1910" s="4" t="s">
        <v>944</v>
      </c>
      <c r="C1910" s="3">
        <v>380</v>
      </c>
      <c r="D1910" s="3">
        <v>30400</v>
      </c>
      <c r="E1910" s="5"/>
      <c r="F1910" s="10"/>
    </row>
    <row r="1911" spans="1:6" ht="18.75" x14ac:dyDescent="0.3">
      <c r="A1911" s="3" t="s">
        <v>42</v>
      </c>
      <c r="B1911" s="4" t="s">
        <v>945</v>
      </c>
      <c r="C1911" s="3">
        <v>1141</v>
      </c>
      <c r="D1911" s="3">
        <v>68460</v>
      </c>
      <c r="E1911" s="5"/>
      <c r="F1911" s="10"/>
    </row>
    <row r="1912" spans="1:6" ht="18.75" x14ac:dyDescent="0.3">
      <c r="A1912" s="3"/>
      <c r="B1912" s="4"/>
      <c r="C1912" s="3"/>
      <c r="D1912" s="3"/>
      <c r="E1912" s="3"/>
      <c r="F1912" s="10"/>
    </row>
    <row r="1913" spans="1:6" ht="18.75" x14ac:dyDescent="0.3">
      <c r="A1913" s="3"/>
      <c r="B1913" s="4"/>
      <c r="C1913" s="3"/>
      <c r="D1913" s="3"/>
      <c r="E1913" s="5"/>
      <c r="F1913" s="10"/>
    </row>
    <row r="1914" spans="1:6" ht="18.75" x14ac:dyDescent="0.3">
      <c r="A1914" s="3"/>
      <c r="B1914" s="4"/>
      <c r="C1914" s="3"/>
      <c r="D1914" s="3"/>
      <c r="E1914" s="5"/>
      <c r="F1914" s="10"/>
    </row>
    <row r="1915" spans="1:6" ht="18.75" x14ac:dyDescent="0.3">
      <c r="A1915" s="3"/>
      <c r="B1915" s="4"/>
      <c r="C1915" s="3"/>
      <c r="D1915" s="3"/>
      <c r="E1915" s="5"/>
      <c r="F1915" s="10"/>
    </row>
    <row r="1916" spans="1:6" ht="18.75" x14ac:dyDescent="0.3">
      <c r="A1916" s="3"/>
      <c r="B1916" s="4"/>
      <c r="C1916" s="3"/>
      <c r="D1916" s="3"/>
      <c r="E1916" s="3"/>
      <c r="F1916" s="10"/>
    </row>
    <row r="1917" spans="1:6" ht="18.75" x14ac:dyDescent="0.3">
      <c r="A1917" s="3"/>
      <c r="B1917" s="4"/>
      <c r="C1917" s="3"/>
      <c r="D1917" s="3"/>
      <c r="E1917" s="3"/>
      <c r="F1917" s="10"/>
    </row>
    <row r="1918" spans="1:6" ht="18.75" x14ac:dyDescent="0.3">
      <c r="A1918" s="3"/>
      <c r="B1918" s="4"/>
      <c r="C1918" s="3"/>
      <c r="D1918" s="3"/>
      <c r="E1918" s="3"/>
      <c r="F1918" s="10"/>
    </row>
    <row r="1919" spans="1:6" ht="18.75" x14ac:dyDescent="0.3">
      <c r="A1919" s="3"/>
      <c r="B1919" s="4"/>
      <c r="C1919" s="3"/>
      <c r="D1919" s="3"/>
      <c r="E1919" s="3"/>
      <c r="F1919" s="10"/>
    </row>
    <row r="1920" spans="1:6" ht="18.75" x14ac:dyDescent="0.3">
      <c r="A1920" s="3"/>
      <c r="B1920" s="4"/>
      <c r="C1920" s="3"/>
      <c r="D1920" s="3"/>
      <c r="E1920" s="3"/>
      <c r="F1920" s="100"/>
    </row>
    <row r="1921" spans="1:7" ht="18.75" x14ac:dyDescent="0.3">
      <c r="A1921" s="3"/>
      <c r="B1921" s="4"/>
      <c r="C1921" s="3"/>
      <c r="D1921" s="3"/>
      <c r="E1921" s="3"/>
      <c r="F1921" s="10"/>
    </row>
    <row r="1922" spans="1:7" ht="18.75" x14ac:dyDescent="0.3">
      <c r="A1922" s="3"/>
      <c r="B1922" s="4"/>
      <c r="C1922" s="3"/>
      <c r="D1922" s="3"/>
      <c r="E1922" s="3"/>
      <c r="F1922" s="10"/>
    </row>
    <row r="1923" spans="1:7" ht="18.75" x14ac:dyDescent="0.3">
      <c r="A1923" s="3"/>
      <c r="B1923" s="4"/>
      <c r="C1923" s="3"/>
      <c r="D1923" s="5"/>
      <c r="E1923" s="3"/>
      <c r="F1923" s="10"/>
    </row>
    <row r="1924" spans="1:7" ht="18.75" x14ac:dyDescent="0.3">
      <c r="A1924" s="3"/>
      <c r="B1924" s="4"/>
      <c r="C1924" s="5"/>
      <c r="D1924" s="5"/>
      <c r="E1924" s="3"/>
      <c r="F1924" s="10"/>
    </row>
    <row r="1925" spans="1:7" ht="18.75" x14ac:dyDescent="0.3">
      <c r="A1925" s="3"/>
      <c r="B1925" s="4"/>
      <c r="C1925" s="5"/>
      <c r="D1925" s="5"/>
      <c r="E1925" s="3"/>
    </row>
    <row r="1926" spans="1:7" ht="18.75" x14ac:dyDescent="0.3">
      <c r="A1926" s="3"/>
      <c r="B1926" s="4"/>
      <c r="C1926" s="5"/>
      <c r="D1926" s="5"/>
      <c r="E1926" s="3"/>
    </row>
    <row r="1927" spans="1:7" ht="18.75" x14ac:dyDescent="0.3">
      <c r="A1927" s="3"/>
      <c r="B1927" s="4"/>
      <c r="C1927" s="5"/>
      <c r="D1927" s="5"/>
      <c r="E1927" s="3"/>
    </row>
    <row r="1928" spans="1:7" ht="18.75" x14ac:dyDescent="0.3">
      <c r="A1928" s="3"/>
      <c r="B1928" s="4"/>
      <c r="C1928" s="5"/>
      <c r="D1928" s="5"/>
      <c r="E1928" s="3"/>
    </row>
    <row r="1929" spans="1:7" ht="18.75" x14ac:dyDescent="0.3">
      <c r="A1929" s="3"/>
      <c r="B1929" s="4"/>
      <c r="C1929" s="5"/>
      <c r="D1929" s="5"/>
      <c r="E1929" s="3"/>
    </row>
    <row r="1930" spans="1:7" ht="18.75" x14ac:dyDescent="0.3">
      <c r="A1930" s="3"/>
      <c r="B1930" s="4"/>
      <c r="C1930" s="5"/>
      <c r="D1930" s="5"/>
      <c r="E1930" s="37"/>
    </row>
    <row r="1931" spans="1:7" ht="18.75" x14ac:dyDescent="0.3">
      <c r="A1931" s="3"/>
      <c r="B1931" s="4"/>
      <c r="C1931" s="5"/>
      <c r="D1931" s="5"/>
      <c r="E1931" s="37"/>
    </row>
    <row r="1935" spans="1:7" ht="18.75" x14ac:dyDescent="0.3">
      <c r="A1935" s="35" t="s">
        <v>0</v>
      </c>
      <c r="B1935" s="35" t="s">
        <v>1</v>
      </c>
      <c r="C1935" s="35" t="s">
        <v>2</v>
      </c>
      <c r="D1935" s="35" t="s">
        <v>3</v>
      </c>
      <c r="E1935" s="35" t="s">
        <v>4</v>
      </c>
      <c r="F1935" s="35" t="s">
        <v>5</v>
      </c>
      <c r="G1935" s="35" t="s">
        <v>6</v>
      </c>
    </row>
    <row r="1936" spans="1:7" ht="18.75" x14ac:dyDescent="0.3">
      <c r="A1936" s="22"/>
      <c r="B1936" s="22" t="s">
        <v>814</v>
      </c>
      <c r="C1936" s="23"/>
      <c r="D1936" s="24"/>
      <c r="E1936" s="22"/>
      <c r="F1936" s="25"/>
      <c r="G1936" s="26">
        <f>D1936*E1936</f>
        <v>0</v>
      </c>
    </row>
    <row r="1937" spans="1:7" ht="18.75" x14ac:dyDescent="0.3">
      <c r="A1937" s="1" t="s">
        <v>7</v>
      </c>
      <c r="B1937" s="7">
        <v>6.6</v>
      </c>
      <c r="C1937" s="48" t="s">
        <v>3</v>
      </c>
      <c r="D1937" s="48" t="s">
        <v>8</v>
      </c>
      <c r="E1937" s="46"/>
      <c r="F1937" s="10"/>
      <c r="G1937" s="11"/>
    </row>
    <row r="1938" spans="1:7" ht="18.75" x14ac:dyDescent="0.3">
      <c r="A1938" s="2"/>
      <c r="B1938" s="12"/>
      <c r="C1938" s="12"/>
      <c r="D1938" s="50">
        <f>B1938*C1938</f>
        <v>0</v>
      </c>
      <c r="E1938" s="21">
        <v>0.6</v>
      </c>
      <c r="F1938" s="10"/>
      <c r="G1938" s="21">
        <v>0.4</v>
      </c>
    </row>
    <row r="1939" spans="1:7" ht="18.75" x14ac:dyDescent="0.3">
      <c r="A1939" s="2"/>
      <c r="B1939" s="12"/>
      <c r="C1939" s="12"/>
      <c r="D1939" s="50">
        <f t="shared" ref="D1939" si="47">B1939*C1939</f>
        <v>0</v>
      </c>
      <c r="E1939" s="10"/>
      <c r="F1939" s="10"/>
      <c r="G1939" s="10"/>
    </row>
    <row r="1940" spans="1:7" ht="18.75" x14ac:dyDescent="0.3">
      <c r="A1940" s="2"/>
      <c r="B1940" s="12"/>
      <c r="C1940" s="12"/>
      <c r="D1940" s="50">
        <f>B1940*C1940</f>
        <v>0</v>
      </c>
      <c r="E1940" s="10"/>
      <c r="F1940" s="10"/>
      <c r="G1940" s="10"/>
    </row>
    <row r="1941" spans="1:7" ht="18.75" x14ac:dyDescent="0.3">
      <c r="A1941" s="2"/>
      <c r="B1941" s="12"/>
      <c r="C1941" s="12"/>
      <c r="D1941" s="50">
        <f t="shared" ref="D1941:D1946" si="48">B1941*C1941</f>
        <v>0</v>
      </c>
      <c r="E1941" s="10"/>
      <c r="F1941" s="10"/>
      <c r="G1941" s="10"/>
    </row>
    <row r="1942" spans="1:7" ht="18.75" x14ac:dyDescent="0.3">
      <c r="A1942" s="2"/>
      <c r="B1942" s="12"/>
      <c r="C1942" s="12"/>
      <c r="D1942" s="50">
        <f t="shared" si="48"/>
        <v>0</v>
      </c>
      <c r="E1942" s="10"/>
      <c r="F1942" s="10"/>
      <c r="G1942" s="14">
        <f>E1937-D1952-D1953-D1954-D1955-D1956-D1957-D1958-D1959-D1960-D1961-D1962-D1963-D1964-D1965-D1966-D1967-D1968-D1969-D1970-D1971-D1972-D1973-D1974-D1974</f>
        <v>0</v>
      </c>
    </row>
    <row r="1943" spans="1:7" ht="18.75" x14ac:dyDescent="0.3">
      <c r="A1943" s="2"/>
      <c r="B1943" s="12"/>
      <c r="C1943" s="12"/>
      <c r="D1943" s="50">
        <f t="shared" si="48"/>
        <v>0</v>
      </c>
      <c r="E1943" s="10"/>
      <c r="F1943" s="10"/>
      <c r="G1943" s="10"/>
    </row>
    <row r="1944" spans="1:7" ht="18.75" x14ac:dyDescent="0.3">
      <c r="A1944" s="2"/>
      <c r="B1944" s="12"/>
      <c r="C1944" s="12"/>
      <c r="D1944" s="50">
        <f t="shared" si="48"/>
        <v>0</v>
      </c>
      <c r="E1944" s="10"/>
      <c r="F1944" s="10"/>
    </row>
    <row r="1945" spans="1:7" ht="18.75" x14ac:dyDescent="0.3">
      <c r="A1945" s="2"/>
      <c r="B1945" s="12"/>
      <c r="C1945" s="12"/>
      <c r="D1945" s="50">
        <f t="shared" si="48"/>
        <v>0</v>
      </c>
      <c r="E1945" s="10"/>
      <c r="F1945" s="10"/>
    </row>
    <row r="1946" spans="1:7" ht="18.75" x14ac:dyDescent="0.3">
      <c r="A1946" s="2"/>
      <c r="B1946" s="12"/>
      <c r="C1946" s="12"/>
      <c r="D1946" s="50">
        <f t="shared" si="48"/>
        <v>0</v>
      </c>
      <c r="E1946" s="10"/>
      <c r="F1946" s="16"/>
    </row>
    <row r="1947" spans="1:7" ht="18.75" x14ac:dyDescent="0.3">
      <c r="A1947" s="2"/>
      <c r="B1947" s="12"/>
      <c r="C1947" s="12"/>
      <c r="D1947" s="50"/>
      <c r="E1947" s="10"/>
      <c r="F1947" s="17"/>
    </row>
    <row r="1948" spans="1:7" ht="18.75" x14ac:dyDescent="0.3">
      <c r="A1948" s="2"/>
      <c r="B1948" s="12"/>
      <c r="C1948" s="3"/>
      <c r="D1948" s="50"/>
      <c r="E1948" s="10"/>
      <c r="F1948" s="10"/>
    </row>
    <row r="1949" spans="1:7" ht="18.75" x14ac:dyDescent="0.3">
      <c r="A1949" s="2"/>
      <c r="B1949" s="12"/>
      <c r="C1949" s="3"/>
      <c r="D1949" s="50"/>
      <c r="E1949" s="10"/>
      <c r="F1949" s="10"/>
    </row>
    <row r="1950" spans="1:7" ht="18.75" x14ac:dyDescent="0.3">
      <c r="A1950" s="18"/>
      <c r="B1950" s="19"/>
      <c r="C1950" s="20"/>
      <c r="D1950" s="13"/>
      <c r="E1950" s="10"/>
      <c r="F1950" s="10"/>
    </row>
    <row r="1951" spans="1:7" ht="18.75" x14ac:dyDescent="0.3">
      <c r="A1951" s="1" t="s">
        <v>10</v>
      </c>
      <c r="B1951" s="1" t="s">
        <v>11</v>
      </c>
      <c r="C1951" s="1" t="s">
        <v>12</v>
      </c>
      <c r="D1951" s="1" t="s">
        <v>13</v>
      </c>
      <c r="E1951" s="1" t="s">
        <v>14</v>
      </c>
      <c r="F1951" s="10"/>
    </row>
    <row r="1952" spans="1:7" ht="18.75" x14ac:dyDescent="0.3">
      <c r="A1952" s="3"/>
      <c r="B1952" s="4"/>
      <c r="C1952" s="3"/>
      <c r="D1952" s="3"/>
      <c r="E1952" s="3"/>
      <c r="F1952" s="10"/>
    </row>
    <row r="1953" spans="1:6" ht="18.75" x14ac:dyDescent="0.3">
      <c r="A1953" s="3"/>
      <c r="B1953" s="4"/>
      <c r="C1953" s="3"/>
      <c r="D1953" s="3"/>
      <c r="E1953" s="5"/>
      <c r="F1953" s="10"/>
    </row>
    <row r="1954" spans="1:6" ht="18.75" x14ac:dyDescent="0.3">
      <c r="A1954" s="3"/>
      <c r="B1954" s="4"/>
      <c r="C1954" s="3"/>
      <c r="D1954" s="3"/>
      <c r="E1954" s="5"/>
      <c r="F1954" s="10"/>
    </row>
    <row r="1955" spans="1:6" ht="18.75" x14ac:dyDescent="0.3">
      <c r="A1955" s="3"/>
      <c r="B1955" s="4"/>
      <c r="C1955" s="3"/>
      <c r="D1955" s="3"/>
      <c r="E1955" s="3"/>
      <c r="F1955" s="10"/>
    </row>
    <row r="1956" spans="1:6" ht="18.75" x14ac:dyDescent="0.3">
      <c r="A1956" s="3"/>
      <c r="B1956" s="4"/>
      <c r="C1956" s="3"/>
      <c r="D1956" s="3"/>
      <c r="E1956" s="5"/>
      <c r="F1956" s="10"/>
    </row>
    <row r="1957" spans="1:6" ht="18.75" x14ac:dyDescent="0.3">
      <c r="A1957" s="3"/>
      <c r="B1957" s="4"/>
      <c r="C1957" s="3"/>
      <c r="D1957" s="3"/>
      <c r="E1957" s="5"/>
      <c r="F1957" s="10"/>
    </row>
    <row r="1958" spans="1:6" ht="18.75" x14ac:dyDescent="0.3">
      <c r="A1958" s="3"/>
      <c r="B1958" s="4"/>
      <c r="C1958" s="3"/>
      <c r="D1958" s="3"/>
      <c r="E1958" s="5"/>
      <c r="F1958" s="10"/>
    </row>
    <row r="1959" spans="1:6" ht="18.75" x14ac:dyDescent="0.3">
      <c r="A1959" s="3"/>
      <c r="B1959" s="4"/>
      <c r="C1959" s="3"/>
      <c r="D1959" s="3"/>
      <c r="E1959" s="3"/>
      <c r="F1959" s="10"/>
    </row>
    <row r="1960" spans="1:6" ht="18.75" x14ac:dyDescent="0.3">
      <c r="A1960" s="3"/>
      <c r="B1960" s="4"/>
      <c r="C1960" s="3"/>
      <c r="D1960" s="3"/>
      <c r="E1960" s="3"/>
      <c r="F1960" s="10"/>
    </row>
    <row r="1961" spans="1:6" ht="18.75" x14ac:dyDescent="0.3">
      <c r="A1961" s="3"/>
      <c r="B1961" s="4"/>
      <c r="C1961" s="3"/>
      <c r="D1961" s="3"/>
      <c r="E1961" s="3"/>
      <c r="F1961" s="10"/>
    </row>
    <row r="1962" spans="1:6" ht="18.75" x14ac:dyDescent="0.3">
      <c r="A1962" s="3"/>
      <c r="B1962" s="4"/>
      <c r="C1962" s="3"/>
      <c r="D1962" s="3"/>
      <c r="E1962" s="3"/>
      <c r="F1962" s="10"/>
    </row>
    <row r="1963" spans="1:6" ht="18.75" x14ac:dyDescent="0.3">
      <c r="A1963" s="3"/>
      <c r="B1963" s="4"/>
      <c r="C1963" s="3"/>
      <c r="D1963" s="3"/>
      <c r="E1963" s="3"/>
      <c r="F1963" s="100"/>
    </row>
    <row r="1964" spans="1:6" ht="18.75" x14ac:dyDescent="0.3">
      <c r="A1964" s="3"/>
      <c r="B1964" s="4"/>
      <c r="C1964" s="3"/>
      <c r="D1964" s="3"/>
      <c r="E1964" s="3"/>
      <c r="F1964" s="10"/>
    </row>
    <row r="1965" spans="1:6" ht="18.75" x14ac:dyDescent="0.3">
      <c r="A1965" s="3"/>
      <c r="B1965" s="4"/>
      <c r="C1965" s="3"/>
      <c r="D1965" s="3"/>
      <c r="E1965" s="3"/>
      <c r="F1965" s="10"/>
    </row>
    <row r="1966" spans="1:6" ht="18.75" x14ac:dyDescent="0.3">
      <c r="A1966" s="3"/>
      <c r="B1966" s="4"/>
      <c r="C1966" s="3"/>
      <c r="D1966" s="5"/>
      <c r="E1966" s="3"/>
      <c r="F1966" s="10"/>
    </row>
    <row r="1967" spans="1:6" ht="18.75" x14ac:dyDescent="0.3">
      <c r="A1967" s="3"/>
      <c r="B1967" s="4"/>
      <c r="C1967" s="5"/>
      <c r="D1967" s="5"/>
      <c r="E1967" s="3"/>
      <c r="F1967" s="10"/>
    </row>
    <row r="1968" spans="1:6" ht="18.75" x14ac:dyDescent="0.3">
      <c r="A1968" s="3"/>
      <c r="B1968" s="4"/>
      <c r="C1968" s="5"/>
      <c r="D1968" s="5"/>
      <c r="E1968" s="3"/>
    </row>
    <row r="1969" spans="1:7" ht="18.75" x14ac:dyDescent="0.3">
      <c r="A1969" s="3"/>
      <c r="B1969" s="4"/>
      <c r="C1969" s="5"/>
      <c r="D1969" s="5"/>
      <c r="E1969" s="3"/>
    </row>
    <row r="1970" spans="1:7" ht="18.75" x14ac:dyDescent="0.3">
      <c r="A1970" s="3"/>
      <c r="B1970" s="4"/>
      <c r="C1970" s="5"/>
      <c r="D1970" s="5"/>
      <c r="E1970" s="3"/>
    </row>
    <row r="1971" spans="1:7" ht="18.75" x14ac:dyDescent="0.3">
      <c r="A1971" s="3"/>
      <c r="B1971" s="4"/>
      <c r="C1971" s="5"/>
      <c r="D1971" s="5"/>
      <c r="E1971" s="3"/>
    </row>
    <row r="1972" spans="1:7" ht="18.75" x14ac:dyDescent="0.3">
      <c r="A1972" s="3"/>
      <c r="B1972" s="4"/>
      <c r="C1972" s="5"/>
      <c r="D1972" s="5"/>
      <c r="E1972" s="3"/>
    </row>
    <row r="1973" spans="1:7" ht="18.75" x14ac:dyDescent="0.3">
      <c r="A1973" s="3"/>
      <c r="B1973" s="4"/>
      <c r="C1973" s="5"/>
      <c r="D1973" s="5"/>
      <c r="E1973" s="37"/>
    </row>
    <row r="1974" spans="1:7" ht="18.75" x14ac:dyDescent="0.3">
      <c r="A1974" s="3"/>
      <c r="B1974" s="4"/>
      <c r="C1974" s="5"/>
      <c r="D1974" s="5"/>
      <c r="E1974" s="37"/>
    </row>
    <row r="1978" spans="1:7" ht="18.75" x14ac:dyDescent="0.3">
      <c r="A1978" s="35" t="s">
        <v>0</v>
      </c>
      <c r="B1978" s="35" t="s">
        <v>1</v>
      </c>
      <c r="C1978" s="35" t="s">
        <v>2</v>
      </c>
      <c r="D1978" s="35" t="s">
        <v>3</v>
      </c>
      <c r="E1978" s="35" t="s">
        <v>4</v>
      </c>
      <c r="F1978" s="35" t="s">
        <v>5</v>
      </c>
      <c r="G1978" s="35" t="s">
        <v>6</v>
      </c>
    </row>
    <row r="1979" spans="1:7" ht="18.75" x14ac:dyDescent="0.3">
      <c r="A1979" s="22"/>
      <c r="B1979" s="22" t="s">
        <v>814</v>
      </c>
      <c r="C1979" s="23"/>
      <c r="D1979" s="24"/>
      <c r="E1979" s="22"/>
      <c r="F1979" s="25"/>
      <c r="G1979" s="26">
        <f>D1979*E1979</f>
        <v>0</v>
      </c>
    </row>
    <row r="1980" spans="1:7" ht="18.75" x14ac:dyDescent="0.3">
      <c r="A1980" s="1" t="s">
        <v>7</v>
      </c>
      <c r="B1980" s="7">
        <v>6.6</v>
      </c>
      <c r="C1980" s="48" t="s">
        <v>3</v>
      </c>
      <c r="D1980" s="48" t="s">
        <v>8</v>
      </c>
      <c r="E1980" s="46"/>
      <c r="F1980" s="10"/>
      <c r="G1980" s="11"/>
    </row>
    <row r="1981" spans="1:7" ht="18.75" x14ac:dyDescent="0.3">
      <c r="A1981" s="2"/>
      <c r="B1981" s="12"/>
      <c r="C1981" s="12"/>
      <c r="D1981" s="50">
        <f>B1981*C1981</f>
        <v>0</v>
      </c>
      <c r="E1981" s="21">
        <v>0.6</v>
      </c>
      <c r="F1981" s="10"/>
      <c r="G1981" s="21">
        <v>0.4</v>
      </c>
    </row>
    <row r="1982" spans="1:7" ht="18.75" x14ac:dyDescent="0.3">
      <c r="A1982" s="2"/>
      <c r="B1982" s="12"/>
      <c r="C1982" s="12"/>
      <c r="D1982" s="50">
        <f t="shared" ref="D1982" si="49">B1982*C1982</f>
        <v>0</v>
      </c>
      <c r="E1982" s="10"/>
      <c r="F1982" s="10"/>
      <c r="G1982" s="10"/>
    </row>
    <row r="1983" spans="1:7" ht="18.75" x14ac:dyDescent="0.3">
      <c r="A1983" s="2"/>
      <c r="B1983" s="12"/>
      <c r="C1983" s="12"/>
      <c r="D1983" s="50">
        <f>B1983*C1983</f>
        <v>0</v>
      </c>
      <c r="E1983" s="10"/>
      <c r="F1983" s="10"/>
      <c r="G1983" s="10"/>
    </row>
    <row r="1984" spans="1:7" ht="18.75" x14ac:dyDescent="0.3">
      <c r="A1984" s="2"/>
      <c r="B1984" s="12"/>
      <c r="C1984" s="12"/>
      <c r="D1984" s="50">
        <f t="shared" ref="D1984:D1989" si="50">B1984*C1984</f>
        <v>0</v>
      </c>
      <c r="E1984" s="10"/>
      <c r="F1984" s="10"/>
      <c r="G1984" s="10"/>
    </row>
    <row r="1985" spans="1:7" ht="18.75" x14ac:dyDescent="0.3">
      <c r="A1985" s="2"/>
      <c r="B1985" s="12"/>
      <c r="C1985" s="12"/>
      <c r="D1985" s="50">
        <f t="shared" si="50"/>
        <v>0</v>
      </c>
      <c r="E1985" s="10"/>
      <c r="F1985" s="10"/>
      <c r="G1985" s="14">
        <f>E1980-D1995-D1996-D1997-D1998-D1999-D2000-D2001-D2002-D2003-D2004-D2005-D2006-D2007-D2008-D2009-D2010-D2011-D2012-D2013-D2014-D2015-D2016-D2017-D2017</f>
        <v>0</v>
      </c>
    </row>
    <row r="1986" spans="1:7" ht="18.75" x14ac:dyDescent="0.3">
      <c r="A1986" s="2"/>
      <c r="B1986" s="12"/>
      <c r="C1986" s="12"/>
      <c r="D1986" s="50">
        <f t="shared" si="50"/>
        <v>0</v>
      </c>
      <c r="E1986" s="10"/>
      <c r="F1986" s="10"/>
      <c r="G1986" s="10"/>
    </row>
    <row r="1987" spans="1:7" ht="18.75" x14ac:dyDescent="0.3">
      <c r="A1987" s="2"/>
      <c r="B1987" s="12"/>
      <c r="C1987" s="12"/>
      <c r="D1987" s="50">
        <f t="shared" si="50"/>
        <v>0</v>
      </c>
      <c r="E1987" s="10"/>
      <c r="F1987" s="10"/>
    </row>
    <row r="1988" spans="1:7" ht="18.75" x14ac:dyDescent="0.3">
      <c r="A1988" s="2"/>
      <c r="B1988" s="12"/>
      <c r="C1988" s="12"/>
      <c r="D1988" s="50">
        <f t="shared" si="50"/>
        <v>0</v>
      </c>
      <c r="E1988" s="10"/>
      <c r="F1988" s="10"/>
    </row>
    <row r="1989" spans="1:7" ht="18.75" x14ac:dyDescent="0.3">
      <c r="A1989" s="2"/>
      <c r="B1989" s="12"/>
      <c r="C1989" s="12"/>
      <c r="D1989" s="50">
        <f t="shared" si="50"/>
        <v>0</v>
      </c>
      <c r="E1989" s="10"/>
      <c r="F1989" s="16"/>
    </row>
    <row r="1990" spans="1:7" ht="18.75" x14ac:dyDescent="0.3">
      <c r="A1990" s="2"/>
      <c r="B1990" s="12"/>
      <c r="C1990" s="12"/>
      <c r="D1990" s="50"/>
      <c r="E1990" s="10"/>
      <c r="F1990" s="17"/>
    </row>
    <row r="1991" spans="1:7" ht="18.75" x14ac:dyDescent="0.3">
      <c r="A1991" s="2"/>
      <c r="B1991" s="12"/>
      <c r="C1991" s="3"/>
      <c r="D1991" s="50"/>
      <c r="E1991" s="10"/>
      <c r="F1991" s="10"/>
    </row>
    <row r="1992" spans="1:7" ht="18.75" x14ac:dyDescent="0.3">
      <c r="A1992" s="2"/>
      <c r="B1992" s="12"/>
      <c r="C1992" s="3"/>
      <c r="D1992" s="50"/>
      <c r="E1992" s="10"/>
      <c r="F1992" s="10"/>
    </row>
    <row r="1993" spans="1:7" ht="18.75" x14ac:dyDescent="0.3">
      <c r="A1993" s="18"/>
      <c r="B1993" s="19"/>
      <c r="C1993" s="20"/>
      <c r="D1993" s="13"/>
      <c r="E1993" s="10"/>
      <c r="F1993" s="10"/>
    </row>
    <row r="1994" spans="1:7" ht="18.75" x14ac:dyDescent="0.3">
      <c r="A1994" s="1" t="s">
        <v>10</v>
      </c>
      <c r="B1994" s="1" t="s">
        <v>11</v>
      </c>
      <c r="C1994" s="1" t="s">
        <v>12</v>
      </c>
      <c r="D1994" s="1" t="s">
        <v>13</v>
      </c>
      <c r="E1994" s="1" t="s">
        <v>14</v>
      </c>
      <c r="F1994" s="10"/>
    </row>
    <row r="1995" spans="1:7" ht="18.75" x14ac:dyDescent="0.3">
      <c r="A1995" s="3"/>
      <c r="B1995" s="4"/>
      <c r="C1995" s="3"/>
      <c r="D1995" s="3"/>
      <c r="E1995" s="3"/>
      <c r="F1995" s="10"/>
    </row>
    <row r="1996" spans="1:7" ht="18.75" x14ac:dyDescent="0.3">
      <c r="A1996" s="3"/>
      <c r="B1996" s="4"/>
      <c r="C1996" s="3"/>
      <c r="D1996" s="3"/>
      <c r="E1996" s="5"/>
      <c r="F1996" s="10"/>
    </row>
    <row r="1997" spans="1:7" ht="18.75" x14ac:dyDescent="0.3">
      <c r="A1997" s="3"/>
      <c r="B1997" s="4"/>
      <c r="C1997" s="3"/>
      <c r="D1997" s="3"/>
      <c r="E1997" s="5"/>
      <c r="F1997" s="10"/>
    </row>
    <row r="1998" spans="1:7" ht="18.75" x14ac:dyDescent="0.3">
      <c r="A1998" s="3"/>
      <c r="B1998" s="4"/>
      <c r="C1998" s="3"/>
      <c r="D1998" s="3"/>
      <c r="E1998" s="3"/>
      <c r="F1998" s="10"/>
    </row>
    <row r="1999" spans="1:7" ht="18.75" x14ac:dyDescent="0.3">
      <c r="A1999" s="3"/>
      <c r="B1999" s="4"/>
      <c r="C1999" s="3"/>
      <c r="D1999" s="3"/>
      <c r="E1999" s="5"/>
      <c r="F1999" s="10"/>
    </row>
    <row r="2000" spans="1:7" ht="18.75" x14ac:dyDescent="0.3">
      <c r="A2000" s="3"/>
      <c r="B2000" s="4"/>
      <c r="C2000" s="3"/>
      <c r="D2000" s="3"/>
      <c r="E2000" s="5"/>
      <c r="F2000" s="10"/>
    </row>
    <row r="2001" spans="1:6" ht="18.75" x14ac:dyDescent="0.3">
      <c r="A2001" s="3"/>
      <c r="B2001" s="4"/>
      <c r="C2001" s="3"/>
      <c r="D2001" s="3"/>
      <c r="E2001" s="5"/>
      <c r="F2001" s="10"/>
    </row>
    <row r="2002" spans="1:6" ht="18.75" x14ac:dyDescent="0.3">
      <c r="A2002" s="3"/>
      <c r="B2002" s="4"/>
      <c r="C2002" s="3"/>
      <c r="D2002" s="3"/>
      <c r="E2002" s="3"/>
      <c r="F2002" s="10"/>
    </row>
    <row r="2003" spans="1:6" ht="18.75" x14ac:dyDescent="0.3">
      <c r="A2003" s="3"/>
      <c r="B2003" s="4"/>
      <c r="C2003" s="3"/>
      <c r="D2003" s="3"/>
      <c r="E2003" s="3"/>
      <c r="F2003" s="10"/>
    </row>
    <row r="2004" spans="1:6" ht="18.75" x14ac:dyDescent="0.3">
      <c r="A2004" s="3"/>
      <c r="B2004" s="4"/>
      <c r="C2004" s="3"/>
      <c r="D2004" s="3"/>
      <c r="E2004" s="3"/>
      <c r="F2004" s="10"/>
    </row>
    <row r="2005" spans="1:6" ht="18.75" x14ac:dyDescent="0.3">
      <c r="A2005" s="3"/>
      <c r="B2005" s="4"/>
      <c r="C2005" s="3"/>
      <c r="D2005" s="3"/>
      <c r="E2005" s="3"/>
      <c r="F2005" s="10"/>
    </row>
    <row r="2006" spans="1:6" ht="18.75" x14ac:dyDescent="0.3">
      <c r="A2006" s="3"/>
      <c r="B2006" s="4"/>
      <c r="C2006" s="3"/>
      <c r="D2006" s="3"/>
      <c r="E2006" s="3"/>
      <c r="F2006" s="100"/>
    </row>
    <row r="2007" spans="1:6" ht="18.75" x14ac:dyDescent="0.3">
      <c r="A2007" s="3"/>
      <c r="B2007" s="4"/>
      <c r="C2007" s="3"/>
      <c r="D2007" s="3"/>
      <c r="E2007" s="3"/>
      <c r="F2007" s="10"/>
    </row>
    <row r="2008" spans="1:6" ht="18.75" x14ac:dyDescent="0.3">
      <c r="A2008" s="3"/>
      <c r="B2008" s="4"/>
      <c r="C2008" s="3"/>
      <c r="D2008" s="3"/>
      <c r="E2008" s="3"/>
      <c r="F2008" s="10"/>
    </row>
    <row r="2009" spans="1:6" ht="18.75" x14ac:dyDescent="0.3">
      <c r="A2009" s="3"/>
      <c r="B2009" s="4"/>
      <c r="C2009" s="3"/>
      <c r="D2009" s="5"/>
      <c r="E2009" s="3"/>
      <c r="F2009" s="10"/>
    </row>
    <row r="2010" spans="1:6" ht="18.75" x14ac:dyDescent="0.3">
      <c r="A2010" s="3"/>
      <c r="B2010" s="4"/>
      <c r="C2010" s="5"/>
      <c r="D2010" s="5"/>
      <c r="E2010" s="3"/>
      <c r="F2010" s="10"/>
    </row>
    <row r="2011" spans="1:6" ht="18.75" x14ac:dyDescent="0.3">
      <c r="A2011" s="3"/>
      <c r="B2011" s="4"/>
      <c r="C2011" s="5"/>
      <c r="D2011" s="5"/>
      <c r="E2011" s="3"/>
    </row>
    <row r="2012" spans="1:6" ht="18.75" x14ac:dyDescent="0.3">
      <c r="A2012" s="3"/>
      <c r="B2012" s="4"/>
      <c r="C2012" s="5"/>
      <c r="D2012" s="5"/>
      <c r="E2012" s="3"/>
    </row>
    <row r="2013" spans="1:6" ht="18.75" x14ac:dyDescent="0.3">
      <c r="A2013" s="3"/>
      <c r="B2013" s="4"/>
      <c r="C2013" s="5"/>
      <c r="D2013" s="5"/>
      <c r="E2013" s="3"/>
    </row>
    <row r="2014" spans="1:6" ht="18.75" x14ac:dyDescent="0.3">
      <c r="A2014" s="3"/>
      <c r="B2014" s="4"/>
      <c r="C2014" s="5"/>
      <c r="D2014" s="5"/>
      <c r="E2014" s="3"/>
    </row>
    <row r="2015" spans="1:6" ht="18.75" x14ac:dyDescent="0.3">
      <c r="A2015" s="3"/>
      <c r="B2015" s="4"/>
      <c r="C2015" s="5"/>
      <c r="D2015" s="5"/>
      <c r="E2015" s="3"/>
    </row>
    <row r="2016" spans="1:6" ht="18.75" x14ac:dyDescent="0.3">
      <c r="A2016" s="3"/>
      <c r="B2016" s="4"/>
      <c r="C2016" s="5"/>
      <c r="D2016" s="5"/>
      <c r="E2016" s="37"/>
    </row>
    <row r="2017" spans="1:7" ht="18.75" x14ac:dyDescent="0.3">
      <c r="A2017" s="3"/>
      <c r="B2017" s="4"/>
      <c r="C2017" s="5"/>
      <c r="D2017" s="5"/>
      <c r="E2017" s="37"/>
    </row>
    <row r="2021" spans="1:7" ht="18.75" x14ac:dyDescent="0.3">
      <c r="A2021" s="35" t="s">
        <v>0</v>
      </c>
      <c r="B2021" s="35" t="s">
        <v>1</v>
      </c>
      <c r="C2021" s="35" t="s">
        <v>2</v>
      </c>
      <c r="D2021" s="35" t="s">
        <v>3</v>
      </c>
      <c r="E2021" s="35" t="s">
        <v>4</v>
      </c>
      <c r="F2021" s="35" t="s">
        <v>5</v>
      </c>
      <c r="G2021" s="35" t="s">
        <v>6</v>
      </c>
    </row>
    <row r="2022" spans="1:7" ht="18.75" x14ac:dyDescent="0.3">
      <c r="A2022" s="22"/>
      <c r="B2022" s="22" t="s">
        <v>814</v>
      </c>
      <c r="C2022" s="23"/>
      <c r="D2022" s="24"/>
      <c r="E2022" s="22"/>
      <c r="F2022" s="25"/>
      <c r="G2022" s="26">
        <f>D2022*E2022</f>
        <v>0</v>
      </c>
    </row>
    <row r="2023" spans="1:7" ht="18.75" x14ac:dyDescent="0.3">
      <c r="A2023" s="1" t="s">
        <v>7</v>
      </c>
      <c r="B2023" s="7">
        <v>6.6</v>
      </c>
      <c r="C2023" s="48" t="s">
        <v>3</v>
      </c>
      <c r="D2023" s="48" t="s">
        <v>8</v>
      </c>
      <c r="E2023" s="46"/>
      <c r="F2023" s="10"/>
      <c r="G2023" s="11"/>
    </row>
    <row r="2024" spans="1:7" ht="18.75" x14ac:dyDescent="0.3">
      <c r="A2024" s="2"/>
      <c r="B2024" s="12"/>
      <c r="C2024" s="12"/>
      <c r="D2024" s="50">
        <f>B2024*C2024</f>
        <v>0</v>
      </c>
      <c r="E2024" s="21">
        <v>0.6</v>
      </c>
      <c r="F2024" s="10"/>
      <c r="G2024" s="21">
        <v>0.4</v>
      </c>
    </row>
    <row r="2025" spans="1:7" ht="18.75" x14ac:dyDescent="0.3">
      <c r="A2025" s="2"/>
      <c r="B2025" s="12"/>
      <c r="C2025" s="12"/>
      <c r="D2025" s="50">
        <f t="shared" ref="D2025" si="51">B2025*C2025</f>
        <v>0</v>
      </c>
      <c r="E2025" s="10"/>
      <c r="F2025" s="10"/>
      <c r="G2025" s="10"/>
    </row>
    <row r="2026" spans="1:7" ht="18.75" x14ac:dyDescent="0.3">
      <c r="A2026" s="2"/>
      <c r="B2026" s="12"/>
      <c r="C2026" s="12"/>
      <c r="D2026" s="50">
        <f>B2026*C2026</f>
        <v>0</v>
      </c>
      <c r="E2026" s="10"/>
      <c r="F2026" s="10"/>
      <c r="G2026" s="10"/>
    </row>
    <row r="2027" spans="1:7" ht="18.75" x14ac:dyDescent="0.3">
      <c r="A2027" s="2"/>
      <c r="B2027" s="12"/>
      <c r="C2027" s="12"/>
      <c r="D2027" s="50">
        <f t="shared" ref="D2027:D2032" si="52">B2027*C2027</f>
        <v>0</v>
      </c>
      <c r="E2027" s="10"/>
      <c r="F2027" s="10"/>
      <c r="G2027" s="10"/>
    </row>
    <row r="2028" spans="1:7" ht="18.75" x14ac:dyDescent="0.3">
      <c r="A2028" s="2"/>
      <c r="B2028" s="12"/>
      <c r="C2028" s="12"/>
      <c r="D2028" s="50">
        <f t="shared" si="52"/>
        <v>0</v>
      </c>
      <c r="E2028" s="10"/>
      <c r="F2028" s="10"/>
      <c r="G2028" s="14">
        <f>E2023-D2038-D2039-D2040-D2041-D2042-D2043-D2044-D2045-D2046-D2047-D2048-D2049-D2050-D2051-D2052-D2053-D2054-D2055-D2056-D2057-D2058-D2059-D2060-D2060</f>
        <v>0</v>
      </c>
    </row>
    <row r="2029" spans="1:7" ht="18.75" x14ac:dyDescent="0.3">
      <c r="A2029" s="2"/>
      <c r="B2029" s="12"/>
      <c r="C2029" s="12"/>
      <c r="D2029" s="50">
        <f t="shared" si="52"/>
        <v>0</v>
      </c>
      <c r="E2029" s="10"/>
      <c r="F2029" s="10"/>
      <c r="G2029" s="10"/>
    </row>
    <row r="2030" spans="1:7" ht="18.75" x14ac:dyDescent="0.3">
      <c r="A2030" s="2"/>
      <c r="B2030" s="12"/>
      <c r="C2030" s="12"/>
      <c r="D2030" s="50">
        <f t="shared" si="52"/>
        <v>0</v>
      </c>
      <c r="E2030" s="10"/>
      <c r="F2030" s="10"/>
    </row>
    <row r="2031" spans="1:7" ht="18.75" x14ac:dyDescent="0.3">
      <c r="A2031" s="2"/>
      <c r="B2031" s="12"/>
      <c r="C2031" s="12"/>
      <c r="D2031" s="50">
        <f t="shared" si="52"/>
        <v>0</v>
      </c>
      <c r="E2031" s="10"/>
      <c r="F2031" s="10"/>
    </row>
    <row r="2032" spans="1:7" ht="18.75" x14ac:dyDescent="0.3">
      <c r="A2032" s="2"/>
      <c r="B2032" s="12"/>
      <c r="C2032" s="12"/>
      <c r="D2032" s="50">
        <f t="shared" si="52"/>
        <v>0</v>
      </c>
      <c r="E2032" s="10"/>
      <c r="F2032" s="16"/>
    </row>
    <row r="2033" spans="1:6" ht="18.75" x14ac:dyDescent="0.3">
      <c r="A2033" s="2"/>
      <c r="B2033" s="12"/>
      <c r="C2033" s="12"/>
      <c r="D2033" s="50"/>
      <c r="E2033" s="10"/>
      <c r="F2033" s="17"/>
    </row>
    <row r="2034" spans="1:6" ht="18.75" x14ac:dyDescent="0.3">
      <c r="A2034" s="2"/>
      <c r="B2034" s="12"/>
      <c r="C2034" s="3"/>
      <c r="D2034" s="50"/>
      <c r="E2034" s="10"/>
      <c r="F2034" s="10"/>
    </row>
    <row r="2035" spans="1:6" ht="18.75" x14ac:dyDescent="0.3">
      <c r="A2035" s="2"/>
      <c r="B2035" s="12"/>
      <c r="C2035" s="3"/>
      <c r="D2035" s="50"/>
      <c r="E2035" s="10"/>
      <c r="F2035" s="10"/>
    </row>
    <row r="2036" spans="1:6" ht="18.75" x14ac:dyDescent="0.3">
      <c r="A2036" s="18"/>
      <c r="B2036" s="19"/>
      <c r="C2036" s="20"/>
      <c r="D2036" s="13"/>
      <c r="E2036" s="10"/>
      <c r="F2036" s="10"/>
    </row>
    <row r="2037" spans="1:6" ht="18.75" x14ac:dyDescent="0.3">
      <c r="A2037" s="1" t="s">
        <v>10</v>
      </c>
      <c r="B2037" s="1" t="s">
        <v>11</v>
      </c>
      <c r="C2037" s="1" t="s">
        <v>12</v>
      </c>
      <c r="D2037" s="1" t="s">
        <v>13</v>
      </c>
      <c r="E2037" s="1" t="s">
        <v>14</v>
      </c>
      <c r="F2037" s="10"/>
    </row>
    <row r="2038" spans="1:6" ht="18.75" x14ac:dyDescent="0.3">
      <c r="A2038" s="3"/>
      <c r="B2038" s="4"/>
      <c r="C2038" s="3"/>
      <c r="D2038" s="3"/>
      <c r="E2038" s="3"/>
      <c r="F2038" s="10"/>
    </row>
    <row r="2039" spans="1:6" ht="18.75" x14ac:dyDescent="0.3">
      <c r="A2039" s="3"/>
      <c r="B2039" s="4"/>
      <c r="C2039" s="3"/>
      <c r="D2039" s="3"/>
      <c r="E2039" s="5"/>
      <c r="F2039" s="10"/>
    </row>
    <row r="2040" spans="1:6" ht="18.75" x14ac:dyDescent="0.3">
      <c r="A2040" s="3"/>
      <c r="B2040" s="4"/>
      <c r="C2040" s="3"/>
      <c r="D2040" s="3"/>
      <c r="E2040" s="5"/>
      <c r="F2040" s="10"/>
    </row>
    <row r="2041" spans="1:6" ht="18.75" x14ac:dyDescent="0.3">
      <c r="A2041" s="3"/>
      <c r="B2041" s="4"/>
      <c r="C2041" s="3"/>
      <c r="D2041" s="3"/>
      <c r="E2041" s="3"/>
      <c r="F2041" s="10"/>
    </row>
    <row r="2042" spans="1:6" ht="18.75" x14ac:dyDescent="0.3">
      <c r="A2042" s="3"/>
      <c r="B2042" s="4"/>
      <c r="C2042" s="3"/>
      <c r="D2042" s="3"/>
      <c r="E2042" s="5"/>
      <c r="F2042" s="10"/>
    </row>
    <row r="2043" spans="1:6" ht="18.75" x14ac:dyDescent="0.3">
      <c r="A2043" s="3"/>
      <c r="B2043" s="4"/>
      <c r="C2043" s="3"/>
      <c r="D2043" s="3"/>
      <c r="E2043" s="5"/>
      <c r="F2043" s="10"/>
    </row>
    <row r="2044" spans="1:6" ht="18.75" x14ac:dyDescent="0.3">
      <c r="A2044" s="3"/>
      <c r="B2044" s="4"/>
      <c r="C2044" s="3"/>
      <c r="D2044" s="3"/>
      <c r="E2044" s="5"/>
      <c r="F2044" s="10"/>
    </row>
    <row r="2045" spans="1:6" ht="18.75" x14ac:dyDescent="0.3">
      <c r="A2045" s="3"/>
      <c r="B2045" s="4"/>
      <c r="C2045" s="3"/>
      <c r="D2045" s="3"/>
      <c r="E2045" s="3"/>
      <c r="F2045" s="10"/>
    </row>
    <row r="2046" spans="1:6" ht="18.75" x14ac:dyDescent="0.3">
      <c r="A2046" s="3"/>
      <c r="B2046" s="4"/>
      <c r="C2046" s="3"/>
      <c r="D2046" s="3"/>
      <c r="E2046" s="3"/>
      <c r="F2046" s="10"/>
    </row>
    <row r="2047" spans="1:6" ht="18.75" x14ac:dyDescent="0.3">
      <c r="A2047" s="3"/>
      <c r="B2047" s="4"/>
      <c r="C2047" s="3"/>
      <c r="D2047" s="3"/>
      <c r="E2047" s="3"/>
      <c r="F2047" s="10"/>
    </row>
    <row r="2048" spans="1:6" ht="18.75" x14ac:dyDescent="0.3">
      <c r="A2048" s="3"/>
      <c r="B2048" s="4"/>
      <c r="C2048" s="3"/>
      <c r="D2048" s="3"/>
      <c r="E2048" s="3"/>
      <c r="F2048" s="10"/>
    </row>
    <row r="2049" spans="1:6" ht="18.75" x14ac:dyDescent="0.3">
      <c r="A2049" s="3"/>
      <c r="B2049" s="4"/>
      <c r="C2049" s="3"/>
      <c r="D2049" s="3"/>
      <c r="E2049" s="3"/>
      <c r="F2049" s="100"/>
    </row>
    <row r="2050" spans="1:6" ht="18.75" x14ac:dyDescent="0.3">
      <c r="A2050" s="3"/>
      <c r="B2050" s="4"/>
      <c r="C2050" s="3"/>
      <c r="D2050" s="3"/>
      <c r="E2050" s="3"/>
      <c r="F2050" s="10"/>
    </row>
    <row r="2051" spans="1:6" ht="18.75" x14ac:dyDescent="0.3">
      <c r="A2051" s="3"/>
      <c r="B2051" s="4"/>
      <c r="C2051" s="3"/>
      <c r="D2051" s="3"/>
      <c r="E2051" s="3"/>
      <c r="F2051" s="10"/>
    </row>
    <row r="2052" spans="1:6" ht="18.75" x14ac:dyDescent="0.3">
      <c r="A2052" s="3"/>
      <c r="B2052" s="4"/>
      <c r="C2052" s="3"/>
      <c r="D2052" s="5"/>
      <c r="E2052" s="3"/>
      <c r="F2052" s="10"/>
    </row>
    <row r="2053" spans="1:6" ht="18.75" x14ac:dyDescent="0.3">
      <c r="A2053" s="3"/>
      <c r="B2053" s="4"/>
      <c r="C2053" s="5"/>
      <c r="D2053" s="5"/>
      <c r="E2053" s="3"/>
      <c r="F2053" s="10"/>
    </row>
    <row r="2054" spans="1:6" ht="18.75" x14ac:dyDescent="0.3">
      <c r="A2054" s="3"/>
      <c r="B2054" s="4"/>
      <c r="C2054" s="5"/>
      <c r="D2054" s="5"/>
      <c r="E2054" s="3"/>
    </row>
    <row r="2055" spans="1:6" ht="18.75" x14ac:dyDescent="0.3">
      <c r="A2055" s="3"/>
      <c r="B2055" s="4"/>
      <c r="C2055" s="5"/>
      <c r="D2055" s="5"/>
      <c r="E2055" s="3"/>
    </row>
    <row r="2056" spans="1:6" ht="18.75" x14ac:dyDescent="0.3">
      <c r="A2056" s="3"/>
      <c r="B2056" s="4"/>
      <c r="C2056" s="5"/>
      <c r="D2056" s="5"/>
      <c r="E2056" s="3"/>
    </row>
    <row r="2057" spans="1:6" ht="18.75" x14ac:dyDescent="0.3">
      <c r="A2057" s="3"/>
      <c r="B2057" s="4"/>
      <c r="C2057" s="5"/>
      <c r="D2057" s="5"/>
      <c r="E2057" s="3"/>
    </row>
    <row r="2058" spans="1:6" ht="18.75" x14ac:dyDescent="0.3">
      <c r="A2058" s="3"/>
      <c r="B2058" s="4"/>
      <c r="C2058" s="5"/>
      <c r="D2058" s="5"/>
      <c r="E2058" s="3"/>
    </row>
    <row r="2059" spans="1:6" ht="18.75" x14ac:dyDescent="0.3">
      <c r="A2059" s="3"/>
      <c r="B2059" s="4"/>
      <c r="C2059" s="5"/>
      <c r="D2059" s="5"/>
      <c r="E2059" s="37"/>
    </row>
    <row r="2060" spans="1:6" ht="18.75" x14ac:dyDescent="0.3">
      <c r="A2060" s="3"/>
      <c r="B2060" s="4"/>
      <c r="C2060" s="5"/>
      <c r="D2060" s="5"/>
      <c r="E2060" s="37"/>
    </row>
  </sheetData>
  <autoFilter ref="A200:E206" xr:uid="{496A2326-1810-411F-9D60-D6A648BC7B42}"/>
  <mergeCells count="9">
    <mergeCell ref="F1519:J1519"/>
    <mergeCell ref="A1541:C1542"/>
    <mergeCell ref="A1270:C1271"/>
    <mergeCell ref="A1137:C1138"/>
    <mergeCell ref="A144:D144"/>
    <mergeCell ref="B263:D264"/>
    <mergeCell ref="A528:C529"/>
    <mergeCell ref="B708:D709"/>
    <mergeCell ref="B836:D837"/>
  </mergeCells>
  <phoneticPr fontId="1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CEF1-7888-42BB-BC28-6F784D543184}">
  <dimension ref="A1:K129"/>
  <sheetViews>
    <sheetView topLeftCell="A8" zoomScale="71" zoomScaleNormal="71" workbookViewId="0">
      <selection activeCell="B25" sqref="B25"/>
    </sheetView>
  </sheetViews>
  <sheetFormatPr baseColWidth="10" defaultRowHeight="15" x14ac:dyDescent="0.25"/>
  <cols>
    <col min="1" max="1" width="20.140625" customWidth="1"/>
    <col min="2" max="2" width="63.28515625" customWidth="1"/>
    <col min="3" max="3" width="22.5703125" customWidth="1"/>
    <col min="4" max="4" width="22.140625" customWidth="1"/>
    <col min="5" max="5" width="15.28515625" customWidth="1"/>
    <col min="6" max="6" width="17.140625" customWidth="1"/>
    <col min="7" max="7" width="65.140625" customWidth="1"/>
    <col min="8" max="8" width="16.7109375" customWidth="1"/>
    <col min="9" max="9" width="17.85546875" bestFit="1" customWidth="1"/>
  </cols>
  <sheetData>
    <row r="1" spans="1:9" ht="15" customHeight="1" x14ac:dyDescent="0.45">
      <c r="C1" s="145"/>
      <c r="D1" s="145"/>
      <c r="E1" s="145"/>
    </row>
    <row r="3" spans="1:9" x14ac:dyDescent="0.25">
      <c r="A3" s="146" t="s">
        <v>946</v>
      </c>
      <c r="B3" s="146"/>
      <c r="C3" s="146"/>
    </row>
    <row r="4" spans="1:9" x14ac:dyDescent="0.25">
      <c r="A4" s="146"/>
      <c r="B4" s="146"/>
      <c r="C4" s="146"/>
    </row>
    <row r="8" spans="1:9" ht="21" x14ac:dyDescent="0.35">
      <c r="A8" s="147" t="s">
        <v>15</v>
      </c>
      <c r="B8" s="148"/>
      <c r="C8" s="148"/>
      <c r="D8" s="149"/>
      <c r="F8" s="147" t="s">
        <v>113</v>
      </c>
      <c r="G8" s="148"/>
      <c r="H8" s="148"/>
      <c r="I8" s="149"/>
    </row>
    <row r="9" spans="1:9" ht="23.25" x14ac:dyDescent="0.35">
      <c r="A9" s="3"/>
      <c r="B9" s="101"/>
      <c r="C9" s="3"/>
      <c r="D9" s="112"/>
      <c r="F9" s="3"/>
      <c r="G9" s="101"/>
      <c r="H9" s="5"/>
      <c r="I9" s="114"/>
    </row>
    <row r="10" spans="1:9" ht="23.25" x14ac:dyDescent="0.35">
      <c r="A10" s="3"/>
      <c r="B10" s="4"/>
      <c r="C10" s="3"/>
      <c r="D10" s="112"/>
      <c r="F10" s="3"/>
      <c r="G10" s="101"/>
      <c r="H10" s="5"/>
      <c r="I10" s="114"/>
    </row>
    <row r="11" spans="1:9" ht="21" customHeight="1" x14ac:dyDescent="0.35">
      <c r="A11" s="3"/>
      <c r="B11" s="4"/>
      <c r="C11" s="3"/>
      <c r="D11" s="112"/>
      <c r="E11" t="s">
        <v>951</v>
      </c>
      <c r="F11" s="3"/>
      <c r="G11" s="4"/>
      <c r="H11" s="3"/>
      <c r="I11" s="114"/>
    </row>
    <row r="12" spans="1:9" ht="23.25" x14ac:dyDescent="0.35">
      <c r="A12" s="3"/>
      <c r="B12" s="4"/>
      <c r="C12" s="3"/>
      <c r="D12" s="112"/>
      <c r="E12" s="58" t="s">
        <v>950</v>
      </c>
      <c r="F12" s="3"/>
      <c r="G12" s="4"/>
      <c r="H12" s="3"/>
      <c r="I12" s="114"/>
    </row>
    <row r="13" spans="1:9" ht="23.25" x14ac:dyDescent="0.35">
      <c r="A13" s="3"/>
      <c r="B13" s="4"/>
      <c r="C13" s="3"/>
      <c r="D13" s="112"/>
      <c r="E13" t="s">
        <v>949</v>
      </c>
      <c r="F13" s="3"/>
      <c r="G13" s="83"/>
      <c r="H13" s="75"/>
      <c r="I13" s="114"/>
    </row>
    <row r="14" spans="1:9" ht="23.25" x14ac:dyDescent="0.35">
      <c r="A14" s="3"/>
      <c r="B14" s="4"/>
      <c r="C14" s="3"/>
      <c r="D14" s="112"/>
      <c r="E14" t="s">
        <v>948</v>
      </c>
      <c r="F14" s="3"/>
      <c r="G14" s="83"/>
      <c r="H14" s="75"/>
      <c r="I14" s="114"/>
    </row>
    <row r="15" spans="1:9" ht="23.25" x14ac:dyDescent="0.35">
      <c r="A15" s="3"/>
      <c r="B15" s="4"/>
      <c r="C15" s="3"/>
      <c r="D15" s="112"/>
      <c r="E15" t="s">
        <v>947</v>
      </c>
      <c r="F15" s="3"/>
      <c r="G15" s="83"/>
      <c r="H15" s="86"/>
      <c r="I15" s="114"/>
    </row>
    <row r="16" spans="1:9" ht="23.25" x14ac:dyDescent="0.35">
      <c r="A16" s="3"/>
      <c r="B16" s="4"/>
      <c r="C16" s="3"/>
      <c r="D16" s="112"/>
      <c r="F16" s="3"/>
      <c r="G16" s="83"/>
      <c r="H16" s="72"/>
      <c r="I16" s="114"/>
    </row>
    <row r="17" spans="1:9" ht="23.25" x14ac:dyDescent="0.35">
      <c r="A17" s="3"/>
      <c r="B17" s="4"/>
      <c r="C17" s="3"/>
      <c r="D17" s="112"/>
      <c r="F17" s="3"/>
      <c r="G17" s="83"/>
      <c r="H17" s="72"/>
      <c r="I17" s="114"/>
    </row>
    <row r="18" spans="1:9" ht="23.25" x14ac:dyDescent="0.35">
      <c r="A18" s="3"/>
      <c r="B18" s="4"/>
      <c r="C18" s="3"/>
      <c r="D18" s="112"/>
      <c r="F18" s="3"/>
      <c r="G18" s="83"/>
      <c r="H18" s="72"/>
      <c r="I18" s="114"/>
    </row>
    <row r="19" spans="1:9" ht="23.25" x14ac:dyDescent="0.35">
      <c r="A19" s="3"/>
      <c r="B19" s="4"/>
      <c r="C19" s="3"/>
      <c r="D19" s="112"/>
      <c r="F19" s="3"/>
      <c r="G19" s="83"/>
      <c r="H19" s="6"/>
      <c r="I19" s="114"/>
    </row>
    <row r="20" spans="1:9" ht="23.25" x14ac:dyDescent="0.35">
      <c r="A20" s="3"/>
      <c r="B20" s="4"/>
      <c r="C20" s="3"/>
      <c r="D20" s="112"/>
      <c r="F20" s="3"/>
      <c r="G20" s="83"/>
      <c r="H20" s="6"/>
      <c r="I20" s="114"/>
    </row>
    <row r="21" spans="1:9" ht="23.25" x14ac:dyDescent="0.35">
      <c r="A21" s="3"/>
      <c r="B21" s="4"/>
      <c r="C21" s="3"/>
      <c r="D21" s="112"/>
      <c r="F21" s="3"/>
      <c r="G21" s="4"/>
      <c r="H21" s="67"/>
      <c r="I21" s="114"/>
    </row>
    <row r="22" spans="1:9" ht="23.25" x14ac:dyDescent="0.35">
      <c r="A22" s="3"/>
      <c r="B22" s="4"/>
      <c r="C22" s="3"/>
      <c r="D22" s="112"/>
      <c r="F22" s="3"/>
      <c r="G22" s="4"/>
      <c r="H22" s="6"/>
      <c r="I22" s="114"/>
    </row>
    <row r="23" spans="1:9" ht="23.25" x14ac:dyDescent="0.35">
      <c r="A23" s="3"/>
      <c r="B23" s="4"/>
      <c r="C23" s="3"/>
      <c r="D23" s="112"/>
      <c r="F23" s="3"/>
      <c r="G23" s="4"/>
      <c r="H23" s="6"/>
      <c r="I23" s="114"/>
    </row>
    <row r="24" spans="1:9" ht="26.25" x14ac:dyDescent="0.4">
      <c r="A24" s="3"/>
      <c r="B24" s="4"/>
      <c r="C24" s="3"/>
      <c r="D24" s="3"/>
      <c r="F24" s="3"/>
      <c r="G24" s="6"/>
      <c r="H24" s="117"/>
      <c r="I24" s="118"/>
    </row>
    <row r="25" spans="1:9" ht="26.25" x14ac:dyDescent="0.4">
      <c r="A25" s="3"/>
      <c r="B25" s="4"/>
      <c r="C25" s="117"/>
      <c r="D25" s="110"/>
      <c r="F25" s="3"/>
      <c r="G25" s="6"/>
      <c r="H25" s="6"/>
      <c r="I25" s="58"/>
    </row>
    <row r="26" spans="1:9" ht="18.75" x14ac:dyDescent="0.3">
      <c r="A26" s="3"/>
      <c r="B26" s="4"/>
      <c r="C26" s="3"/>
      <c r="D26" s="3"/>
      <c r="F26" s="3"/>
      <c r="G26" s="6"/>
      <c r="H26" s="6"/>
      <c r="I26" s="58"/>
    </row>
    <row r="27" spans="1:9" ht="21" x14ac:dyDescent="0.35">
      <c r="A27" s="72"/>
      <c r="B27" s="83"/>
      <c r="C27" s="71"/>
      <c r="D27" s="71"/>
      <c r="F27" s="6"/>
      <c r="G27" s="6"/>
      <c r="H27" s="6"/>
      <c r="I27" s="58"/>
    </row>
    <row r="28" spans="1:9" ht="21" x14ac:dyDescent="0.35">
      <c r="A28" s="72"/>
      <c r="B28" s="72"/>
      <c r="C28" s="72"/>
      <c r="D28" s="71"/>
      <c r="F28" s="6"/>
      <c r="G28" s="6"/>
      <c r="H28" s="58"/>
      <c r="I28" s="58"/>
    </row>
    <row r="29" spans="1:9" ht="21" x14ac:dyDescent="0.35">
      <c r="A29" s="106"/>
      <c r="B29" s="107"/>
      <c r="C29" s="107"/>
      <c r="D29" s="108"/>
      <c r="F29" s="147" t="s">
        <v>104</v>
      </c>
      <c r="G29" s="148"/>
      <c r="H29" s="150"/>
      <c r="I29" s="151"/>
    </row>
    <row r="30" spans="1:9" ht="23.25" x14ac:dyDescent="0.35">
      <c r="A30" s="147" t="s">
        <v>17</v>
      </c>
      <c r="B30" s="148"/>
      <c r="C30" s="148"/>
      <c r="D30" s="149"/>
      <c r="F30" s="70" t="s">
        <v>27</v>
      </c>
      <c r="G30" s="83"/>
      <c r="H30" s="70"/>
      <c r="I30" s="114"/>
    </row>
    <row r="31" spans="1:9" ht="23.25" x14ac:dyDescent="0.35">
      <c r="A31" s="3"/>
      <c r="B31" s="111"/>
      <c r="C31" s="112"/>
      <c r="D31" s="112"/>
      <c r="F31" s="70"/>
      <c r="G31" s="83"/>
      <c r="H31" s="72"/>
      <c r="I31" s="114"/>
    </row>
    <row r="32" spans="1:9" ht="23.25" x14ac:dyDescent="0.35">
      <c r="A32" s="3"/>
      <c r="B32" s="113"/>
      <c r="C32" s="112"/>
      <c r="D32" s="114"/>
      <c r="E32" s="36"/>
      <c r="F32" s="3"/>
      <c r="G32" s="4"/>
      <c r="H32" s="3"/>
      <c r="I32" s="114"/>
    </row>
    <row r="33" spans="1:9" ht="23.25" x14ac:dyDescent="0.35">
      <c r="A33" s="3"/>
      <c r="B33" s="113"/>
      <c r="C33" s="112"/>
      <c r="D33" s="114"/>
      <c r="F33" s="6"/>
      <c r="G33" s="101"/>
      <c r="H33" s="3"/>
      <c r="I33" s="114"/>
    </row>
    <row r="34" spans="1:9" ht="23.25" x14ac:dyDescent="0.35">
      <c r="A34" s="3"/>
      <c r="B34" s="111"/>
      <c r="C34" s="112"/>
      <c r="D34" s="112"/>
      <c r="E34" s="36"/>
      <c r="F34" s="3"/>
      <c r="G34" s="101"/>
      <c r="H34" s="3"/>
      <c r="I34" s="114"/>
    </row>
    <row r="35" spans="1:9" ht="23.25" x14ac:dyDescent="0.35">
      <c r="A35" s="3"/>
      <c r="B35" s="113"/>
      <c r="C35" s="115"/>
      <c r="D35" s="114"/>
      <c r="F35" s="70"/>
      <c r="I35" s="114"/>
    </row>
    <row r="36" spans="1:9" ht="23.25" x14ac:dyDescent="0.35">
      <c r="A36" s="3"/>
      <c r="B36" s="111"/>
      <c r="C36" s="116"/>
      <c r="D36" s="114"/>
      <c r="F36" s="70"/>
      <c r="G36" s="83"/>
      <c r="H36" s="72"/>
      <c r="I36" s="114"/>
    </row>
    <row r="37" spans="1:9" ht="23.25" x14ac:dyDescent="0.35">
      <c r="A37" s="3"/>
      <c r="B37" s="111"/>
      <c r="C37" s="116"/>
      <c r="D37" s="114"/>
      <c r="F37" s="70"/>
      <c r="G37" s="83"/>
      <c r="H37" s="72"/>
      <c r="I37" s="114"/>
    </row>
    <row r="38" spans="1:9" ht="23.25" x14ac:dyDescent="0.35">
      <c r="A38" s="3"/>
      <c r="B38" s="111"/>
      <c r="C38" s="112"/>
      <c r="D38" s="114"/>
      <c r="F38" s="70"/>
      <c r="G38" s="83"/>
      <c r="H38" s="72"/>
      <c r="I38" s="114"/>
    </row>
    <row r="39" spans="1:9" ht="26.25" x14ac:dyDescent="0.4">
      <c r="A39" s="3"/>
      <c r="B39" s="111"/>
      <c r="C39" s="112"/>
      <c r="D39" s="114"/>
      <c r="E39" s="36"/>
      <c r="F39" s="70"/>
      <c r="G39" s="4"/>
      <c r="H39" s="121"/>
      <c r="I39" s="125"/>
    </row>
    <row r="40" spans="1:9" ht="23.25" x14ac:dyDescent="0.35">
      <c r="A40" s="3"/>
      <c r="B40" s="111"/>
      <c r="C40" s="115"/>
      <c r="D40" s="114"/>
      <c r="F40" s="70"/>
      <c r="G40" s="83"/>
      <c r="H40" s="73"/>
      <c r="I40" s="71"/>
    </row>
    <row r="41" spans="1:9" ht="23.25" x14ac:dyDescent="0.35">
      <c r="A41" s="3"/>
      <c r="B41" s="111"/>
      <c r="C41" s="112"/>
      <c r="D41" s="114"/>
      <c r="F41" s="70"/>
      <c r="G41" s="6"/>
      <c r="H41" s="58"/>
      <c r="I41" s="58"/>
    </row>
    <row r="42" spans="1:9" ht="23.25" x14ac:dyDescent="0.35">
      <c r="A42" s="3"/>
      <c r="B42" s="116"/>
      <c r="C42" s="116"/>
      <c r="D42" s="114"/>
      <c r="F42" s="70"/>
      <c r="G42" s="6"/>
      <c r="H42" s="6"/>
      <c r="I42" s="58"/>
    </row>
    <row r="43" spans="1:9" ht="26.25" x14ac:dyDescent="0.4">
      <c r="A43" s="3"/>
      <c r="B43" s="116"/>
      <c r="C43" s="117"/>
      <c r="D43" s="114"/>
      <c r="F43" s="6"/>
      <c r="G43" s="6"/>
      <c r="H43" s="58"/>
      <c r="I43" s="58"/>
    </row>
    <row r="44" spans="1:9" ht="23.25" x14ac:dyDescent="0.35">
      <c r="A44" s="3"/>
      <c r="B44" s="116"/>
      <c r="C44" s="116"/>
      <c r="D44" s="114"/>
      <c r="F44" s="6"/>
      <c r="G44" s="6"/>
      <c r="H44" s="58"/>
      <c r="I44" s="58"/>
    </row>
    <row r="45" spans="1:9" ht="18.75" x14ac:dyDescent="0.3">
      <c r="A45" s="3"/>
      <c r="B45" s="6"/>
      <c r="C45" s="6"/>
      <c r="D45" s="58"/>
      <c r="F45" s="6"/>
      <c r="G45" s="6"/>
      <c r="H45" s="58"/>
      <c r="I45" s="58"/>
    </row>
    <row r="46" spans="1:9" ht="18.75" x14ac:dyDescent="0.3">
      <c r="A46" s="6"/>
      <c r="B46" s="6"/>
      <c r="C46" s="6"/>
      <c r="D46" s="58"/>
      <c r="F46" s="6"/>
      <c r="G46" s="6"/>
      <c r="H46" s="67"/>
      <c r="I46" s="58"/>
    </row>
    <row r="47" spans="1:9" ht="28.5" x14ac:dyDescent="0.45">
      <c r="A47" s="6"/>
      <c r="B47" s="6"/>
      <c r="C47" s="126"/>
      <c r="D47" s="58"/>
      <c r="F47" s="6"/>
      <c r="G47" s="6"/>
      <c r="H47" s="67"/>
      <c r="I47" s="58"/>
    </row>
    <row r="48" spans="1:9" ht="18.75" x14ac:dyDescent="0.3">
      <c r="A48" s="6"/>
      <c r="B48" s="6"/>
      <c r="C48" s="67"/>
      <c r="D48" s="58"/>
      <c r="F48" s="6"/>
      <c r="G48" s="6"/>
      <c r="H48" s="67"/>
      <c r="I48" s="58"/>
    </row>
    <row r="49" spans="1:11" ht="19.5" customHeight="1" x14ac:dyDescent="0.3">
      <c r="A49" s="6"/>
      <c r="B49" s="6"/>
      <c r="C49" s="67"/>
      <c r="D49" s="58"/>
      <c r="F49" s="6"/>
      <c r="G49" s="6"/>
      <c r="H49" s="68"/>
      <c r="I49" s="58"/>
    </row>
    <row r="50" spans="1:11" ht="21" x14ac:dyDescent="0.35">
      <c r="A50" s="6"/>
      <c r="B50" s="6"/>
      <c r="C50" s="68"/>
      <c r="D50" s="58"/>
      <c r="E50" s="74"/>
      <c r="F50" s="147" t="s">
        <v>16</v>
      </c>
      <c r="G50" s="148"/>
      <c r="H50" s="148"/>
      <c r="I50" s="149"/>
    </row>
    <row r="51" spans="1:11" ht="23.25" x14ac:dyDescent="0.35">
      <c r="A51" s="147" t="s">
        <v>42</v>
      </c>
      <c r="B51" s="148"/>
      <c r="C51" s="148"/>
      <c r="D51" s="149"/>
      <c r="E51" s="74"/>
      <c r="F51" s="3"/>
      <c r="G51" s="4"/>
      <c r="H51" s="3"/>
      <c r="I51" s="127"/>
      <c r="K51" t="s">
        <v>249</v>
      </c>
    </row>
    <row r="52" spans="1:11" ht="23.25" x14ac:dyDescent="0.35">
      <c r="A52" s="6" t="s">
        <v>783</v>
      </c>
      <c r="B52" s="101"/>
      <c r="C52" s="3"/>
      <c r="D52" s="114"/>
      <c r="E52" s="74"/>
      <c r="F52" s="3"/>
      <c r="G52" s="4"/>
      <c r="H52" s="3"/>
      <c r="I52" s="114"/>
    </row>
    <row r="53" spans="1:11" ht="23.25" x14ac:dyDescent="0.35">
      <c r="A53" s="6" t="s">
        <v>783</v>
      </c>
      <c r="B53" s="101"/>
      <c r="C53" s="3"/>
      <c r="D53" s="114"/>
      <c r="E53" s="74"/>
      <c r="F53" s="3"/>
      <c r="G53" s="101"/>
      <c r="H53" s="3"/>
      <c r="I53" s="114"/>
    </row>
    <row r="54" spans="1:11" ht="23.25" x14ac:dyDescent="0.35">
      <c r="A54" s="6" t="s">
        <v>783</v>
      </c>
      <c r="B54" s="101"/>
      <c r="C54" s="3"/>
      <c r="D54" s="114"/>
      <c r="E54" s="74"/>
      <c r="F54" s="3"/>
      <c r="G54" s="101"/>
      <c r="H54" s="3"/>
      <c r="I54" s="114"/>
    </row>
    <row r="55" spans="1:11" ht="23.25" x14ac:dyDescent="0.35">
      <c r="A55" s="6" t="s">
        <v>783</v>
      </c>
      <c r="B55" s="101"/>
      <c r="C55" s="3"/>
      <c r="D55" s="114"/>
      <c r="E55" s="74"/>
      <c r="F55" s="3"/>
      <c r="G55" s="4"/>
      <c r="H55" s="3"/>
      <c r="I55" s="114"/>
    </row>
    <row r="56" spans="1:11" ht="23.25" x14ac:dyDescent="0.35">
      <c r="A56" s="6" t="s">
        <v>783</v>
      </c>
      <c r="B56" s="4"/>
      <c r="C56" s="3"/>
      <c r="D56" s="114"/>
      <c r="E56" s="74"/>
      <c r="F56" s="3"/>
      <c r="G56" s="4"/>
      <c r="H56" s="5"/>
      <c r="I56" s="114"/>
    </row>
    <row r="57" spans="1:11" ht="23.25" x14ac:dyDescent="0.35">
      <c r="A57" s="6" t="s">
        <v>783</v>
      </c>
      <c r="B57" s="4"/>
      <c r="C57" s="3"/>
      <c r="D57" s="114"/>
      <c r="E57" s="74"/>
      <c r="F57" s="3"/>
      <c r="G57" s="4"/>
      <c r="H57" s="3"/>
      <c r="I57" s="114"/>
    </row>
    <row r="58" spans="1:11" ht="23.25" x14ac:dyDescent="0.35">
      <c r="A58" s="6" t="s">
        <v>783</v>
      </c>
      <c r="B58" s="83"/>
      <c r="C58" s="72"/>
      <c r="D58" s="114"/>
      <c r="E58" s="74"/>
      <c r="F58" s="3"/>
      <c r="G58" s="4"/>
      <c r="H58" s="3"/>
      <c r="I58" s="114"/>
    </row>
    <row r="59" spans="1:11" ht="23.25" x14ac:dyDescent="0.35">
      <c r="A59" s="6" t="s">
        <v>783</v>
      </c>
      <c r="B59" s="4"/>
      <c r="C59" s="3"/>
      <c r="D59" s="114"/>
      <c r="E59" s="74"/>
      <c r="F59" s="3"/>
      <c r="G59" s="4"/>
      <c r="H59" s="5"/>
      <c r="I59" s="114"/>
    </row>
    <row r="60" spans="1:11" ht="23.25" x14ac:dyDescent="0.35">
      <c r="A60" s="6" t="s">
        <v>783</v>
      </c>
      <c r="B60" s="4"/>
      <c r="C60" s="3"/>
      <c r="D60" s="114"/>
      <c r="E60" s="74"/>
      <c r="F60" s="3"/>
      <c r="G60" s="4"/>
      <c r="H60" s="3"/>
      <c r="I60" s="114"/>
    </row>
    <row r="61" spans="1:11" ht="23.25" x14ac:dyDescent="0.35">
      <c r="A61" s="6" t="s">
        <v>783</v>
      </c>
      <c r="B61" s="4"/>
      <c r="C61" s="5"/>
      <c r="D61" s="114"/>
      <c r="E61" s="74"/>
      <c r="F61" s="3"/>
      <c r="G61" s="4"/>
      <c r="H61" s="3"/>
      <c r="I61" s="114"/>
    </row>
    <row r="62" spans="1:11" ht="23.25" x14ac:dyDescent="0.35">
      <c r="A62" s="6" t="s">
        <v>783</v>
      </c>
      <c r="B62" s="4"/>
      <c r="C62" s="3"/>
      <c r="D62" s="114"/>
      <c r="E62" s="74"/>
      <c r="F62" s="3"/>
      <c r="G62" s="4"/>
      <c r="H62" s="3"/>
      <c r="I62" s="58"/>
    </row>
    <row r="63" spans="1:11" ht="23.25" x14ac:dyDescent="0.35">
      <c r="A63" s="6" t="s">
        <v>783</v>
      </c>
      <c r="B63" s="4"/>
      <c r="C63" s="3"/>
      <c r="D63" s="114"/>
      <c r="F63" s="3"/>
      <c r="G63" s="4"/>
      <c r="H63" s="3"/>
      <c r="I63" s="58"/>
    </row>
    <row r="64" spans="1:11" ht="26.25" x14ac:dyDescent="0.4">
      <c r="A64" s="6" t="s">
        <v>783</v>
      </c>
      <c r="B64" s="4"/>
      <c r="C64" s="3"/>
      <c r="D64" s="114"/>
      <c r="E64" s="74"/>
      <c r="F64" s="72"/>
      <c r="G64" s="72"/>
      <c r="H64" s="117"/>
      <c r="I64" s="118"/>
    </row>
    <row r="65" spans="1:9" ht="23.25" x14ac:dyDescent="0.35">
      <c r="A65" s="6" t="s">
        <v>783</v>
      </c>
      <c r="B65" s="6"/>
      <c r="C65" s="6"/>
      <c r="D65" s="114"/>
      <c r="F65" s="72"/>
      <c r="G65" s="72"/>
      <c r="H65" s="72"/>
      <c r="I65" s="71"/>
    </row>
    <row r="66" spans="1:9" ht="26.25" x14ac:dyDescent="0.4">
      <c r="A66" s="6" t="s">
        <v>783</v>
      </c>
      <c r="B66" s="6"/>
      <c r="C66" s="117"/>
      <c r="D66" s="118"/>
      <c r="F66" s="72"/>
      <c r="G66" s="72"/>
      <c r="H66" s="72"/>
      <c r="I66" s="71"/>
    </row>
    <row r="67" spans="1:9" ht="23.25" x14ac:dyDescent="0.35">
      <c r="A67" s="6" t="s">
        <v>783</v>
      </c>
      <c r="B67" s="6"/>
      <c r="C67" s="116"/>
      <c r="D67" s="114"/>
      <c r="F67" s="6"/>
      <c r="G67" s="6"/>
      <c r="H67" s="6"/>
      <c r="I67" s="58"/>
    </row>
    <row r="68" spans="1:9" ht="23.25" x14ac:dyDescent="0.35">
      <c r="A68" s="6"/>
      <c r="B68" s="6"/>
      <c r="C68" s="110"/>
      <c r="D68" s="125"/>
      <c r="F68" s="6"/>
      <c r="G68" s="6"/>
      <c r="H68" s="6"/>
      <c r="I68" s="58"/>
    </row>
    <row r="69" spans="1:9" ht="23.25" x14ac:dyDescent="0.35">
      <c r="A69" s="6"/>
      <c r="B69" s="6"/>
      <c r="C69" s="6"/>
      <c r="D69" s="114"/>
      <c r="F69" s="6"/>
      <c r="G69" s="6"/>
      <c r="H69" s="6"/>
      <c r="I69" s="58"/>
    </row>
    <row r="70" spans="1:9" ht="23.25" x14ac:dyDescent="0.35">
      <c r="A70" s="6"/>
      <c r="B70" s="6"/>
      <c r="C70" s="6"/>
      <c r="D70" s="114"/>
      <c r="F70" s="6"/>
      <c r="G70" s="6"/>
      <c r="H70" s="6"/>
      <c r="I70" s="58"/>
    </row>
    <row r="71" spans="1:9" ht="23.25" x14ac:dyDescent="0.35">
      <c r="A71" s="6"/>
      <c r="B71" s="6"/>
      <c r="C71" s="6"/>
      <c r="D71" s="114"/>
      <c r="F71" s="6"/>
      <c r="G71" s="6"/>
      <c r="H71" s="58"/>
      <c r="I71" s="58"/>
    </row>
    <row r="72" spans="1:9" ht="18.75" x14ac:dyDescent="0.3">
      <c r="A72" s="6"/>
      <c r="B72" s="6"/>
      <c r="C72" s="6"/>
      <c r="D72" s="58"/>
      <c r="F72" s="6"/>
      <c r="G72" s="6"/>
      <c r="H72" s="6"/>
      <c r="I72" s="58"/>
    </row>
    <row r="73" spans="1:9" ht="18.75" x14ac:dyDescent="0.3">
      <c r="A73" s="6"/>
      <c r="B73" s="6"/>
      <c r="C73" s="6"/>
      <c r="D73" s="58"/>
      <c r="F73" s="6"/>
      <c r="G73" s="6"/>
      <c r="H73" s="6"/>
      <c r="I73" s="58"/>
    </row>
    <row r="74" spans="1:9" ht="18.75" x14ac:dyDescent="0.3">
      <c r="A74" s="6"/>
      <c r="B74" s="6"/>
      <c r="C74" s="6"/>
      <c r="D74" s="58"/>
    </row>
    <row r="76" spans="1:9" ht="21" x14ac:dyDescent="0.35">
      <c r="E76" s="74"/>
      <c r="F76" s="147" t="s">
        <v>29</v>
      </c>
      <c r="G76" s="148"/>
      <c r="H76" s="148"/>
      <c r="I76" s="149"/>
    </row>
    <row r="77" spans="1:9" ht="21" x14ac:dyDescent="0.35">
      <c r="A77" s="147" t="s">
        <v>379</v>
      </c>
      <c r="B77" s="148"/>
      <c r="C77" s="148"/>
      <c r="D77" s="149"/>
      <c r="E77" s="74"/>
      <c r="F77" s="72"/>
      <c r="G77" s="72"/>
      <c r="H77" s="72"/>
      <c r="I77" s="71"/>
    </row>
    <row r="78" spans="1:9" ht="23.25" x14ac:dyDescent="0.35">
      <c r="A78" s="3"/>
      <c r="B78" s="101"/>
      <c r="C78" s="3"/>
      <c r="D78" s="114"/>
      <c r="E78" s="74"/>
      <c r="F78" s="72"/>
      <c r="G78" s="72"/>
      <c r="H78" s="72"/>
      <c r="I78" s="71"/>
    </row>
    <row r="79" spans="1:9" ht="23.25" x14ac:dyDescent="0.35">
      <c r="A79" s="3"/>
      <c r="B79" s="101"/>
      <c r="C79" s="3"/>
      <c r="D79" s="114"/>
      <c r="E79" s="74"/>
      <c r="F79" s="72"/>
      <c r="G79" s="72"/>
      <c r="H79" s="6"/>
      <c r="I79" s="58"/>
    </row>
    <row r="80" spans="1:9" ht="23.25" x14ac:dyDescent="0.35">
      <c r="A80" s="3"/>
      <c r="B80" s="4"/>
      <c r="C80" s="3"/>
      <c r="D80" s="114"/>
      <c r="E80" s="74"/>
      <c r="F80" s="72"/>
      <c r="G80" s="72"/>
      <c r="H80" s="72"/>
      <c r="I80" s="71"/>
    </row>
    <row r="81" spans="1:9" ht="23.25" x14ac:dyDescent="0.35">
      <c r="A81" s="3"/>
      <c r="B81" s="4"/>
      <c r="C81" s="3"/>
      <c r="D81" s="114"/>
      <c r="E81" s="74"/>
      <c r="F81" s="72"/>
      <c r="G81" s="72"/>
      <c r="H81" s="73"/>
      <c r="I81" s="71"/>
    </row>
    <row r="82" spans="1:9" ht="23.25" x14ac:dyDescent="0.35">
      <c r="A82" s="3"/>
      <c r="B82" s="4"/>
      <c r="C82" s="3"/>
      <c r="D82" s="114"/>
      <c r="E82" s="74"/>
      <c r="F82" s="72"/>
      <c r="G82" s="72"/>
      <c r="H82" s="72"/>
      <c r="I82" s="71"/>
    </row>
    <row r="83" spans="1:9" ht="26.25" x14ac:dyDescent="0.4">
      <c r="A83" s="3"/>
      <c r="B83" s="4"/>
      <c r="C83" s="3"/>
      <c r="D83" s="114"/>
      <c r="E83" s="74"/>
      <c r="F83" s="72"/>
      <c r="G83" s="72"/>
      <c r="H83" s="117"/>
      <c r="I83" s="118"/>
    </row>
    <row r="84" spans="1:9" ht="26.25" x14ac:dyDescent="0.4">
      <c r="A84" s="3"/>
      <c r="B84" s="4"/>
      <c r="C84" s="117"/>
      <c r="D84" s="118"/>
      <c r="E84" s="74"/>
      <c r="F84" s="72"/>
      <c r="G84" s="72"/>
      <c r="H84" s="72"/>
      <c r="I84" s="71"/>
    </row>
    <row r="85" spans="1:9" ht="21" x14ac:dyDescent="0.35">
      <c r="A85" s="3"/>
      <c r="B85" s="83"/>
      <c r="C85" s="71"/>
      <c r="D85" s="71"/>
      <c r="E85" s="74"/>
      <c r="F85" s="72"/>
      <c r="G85" s="72"/>
      <c r="H85" s="73"/>
      <c r="I85" s="71"/>
    </row>
    <row r="86" spans="1:9" ht="26.25" x14ac:dyDescent="0.4">
      <c r="A86" s="3"/>
      <c r="B86" s="83"/>
      <c r="C86" s="117"/>
      <c r="D86" s="118"/>
      <c r="E86" s="74"/>
      <c r="F86" s="72"/>
      <c r="G86" s="72"/>
      <c r="H86" s="73"/>
      <c r="I86" s="71"/>
    </row>
    <row r="87" spans="1:9" ht="21" x14ac:dyDescent="0.35">
      <c r="A87" s="3"/>
      <c r="B87" s="83"/>
      <c r="C87" s="72"/>
      <c r="D87" s="71"/>
      <c r="E87" s="74"/>
      <c r="F87" s="72"/>
      <c r="G87" s="72"/>
      <c r="H87" s="73"/>
      <c r="I87" s="71"/>
    </row>
    <row r="88" spans="1:9" ht="21" x14ac:dyDescent="0.35">
      <c r="A88" s="3"/>
      <c r="B88" s="83"/>
      <c r="C88" s="72"/>
      <c r="D88" s="71"/>
      <c r="E88" s="74"/>
      <c r="F88" s="72"/>
      <c r="G88" s="72"/>
      <c r="H88" s="73"/>
      <c r="I88" s="71"/>
    </row>
    <row r="89" spans="1:9" ht="21" x14ac:dyDescent="0.35">
      <c r="A89" s="3"/>
      <c r="B89" s="4"/>
      <c r="C89" s="6"/>
      <c r="D89" s="58"/>
      <c r="E89" s="74"/>
      <c r="F89" s="72"/>
      <c r="G89" s="72"/>
      <c r="H89" s="73"/>
      <c r="I89" s="71"/>
    </row>
    <row r="90" spans="1:9" ht="18.75" x14ac:dyDescent="0.3">
      <c r="A90" s="3"/>
      <c r="B90" s="4"/>
      <c r="C90" s="6"/>
      <c r="D90" s="58"/>
      <c r="F90" s="6"/>
      <c r="G90" s="6"/>
      <c r="H90" s="67"/>
      <c r="I90" s="58"/>
    </row>
    <row r="91" spans="1:9" ht="18.75" x14ac:dyDescent="0.3">
      <c r="A91" s="3"/>
      <c r="B91" s="4"/>
      <c r="C91" s="67"/>
      <c r="D91" s="58"/>
      <c r="F91" s="6"/>
      <c r="G91" s="6"/>
      <c r="H91" s="6"/>
      <c r="I91" s="58"/>
    </row>
    <row r="92" spans="1:9" ht="18.75" x14ac:dyDescent="0.3">
      <c r="A92" s="6"/>
      <c r="B92" s="4"/>
      <c r="C92" s="67"/>
      <c r="D92" s="58"/>
      <c r="F92" s="6"/>
      <c r="G92" s="6"/>
      <c r="H92" s="6"/>
      <c r="I92" s="58"/>
    </row>
    <row r="93" spans="1:9" ht="18.75" x14ac:dyDescent="0.3">
      <c r="A93" s="6"/>
      <c r="B93" s="4"/>
      <c r="C93" s="67"/>
      <c r="D93" s="58"/>
      <c r="F93" s="6"/>
      <c r="G93" s="6"/>
      <c r="H93" s="6"/>
      <c r="I93" s="58"/>
    </row>
    <row r="94" spans="1:9" ht="18.75" x14ac:dyDescent="0.3">
      <c r="A94" s="6"/>
      <c r="B94" s="6"/>
      <c r="C94" s="67"/>
      <c r="D94" s="58"/>
      <c r="F94" s="6"/>
      <c r="G94" s="6"/>
      <c r="H94" s="6"/>
      <c r="I94" s="58"/>
    </row>
    <row r="95" spans="1:9" ht="18.75" x14ac:dyDescent="0.3">
      <c r="A95" s="6"/>
      <c r="B95" s="6"/>
      <c r="C95" s="68"/>
      <c r="D95" s="58"/>
      <c r="F95" s="6"/>
      <c r="G95" s="6"/>
      <c r="H95" s="67"/>
      <c r="I95" s="58"/>
    </row>
    <row r="96" spans="1:9" ht="18.75" x14ac:dyDescent="0.3">
      <c r="A96" s="6"/>
      <c r="B96" s="6"/>
      <c r="C96" s="67"/>
      <c r="D96" s="58"/>
      <c r="F96" s="17"/>
      <c r="G96" s="17"/>
      <c r="H96" s="69"/>
      <c r="I96" s="36"/>
    </row>
    <row r="97" spans="1:9" ht="18.75" x14ac:dyDescent="0.3">
      <c r="A97" s="17"/>
      <c r="B97" s="17"/>
      <c r="C97" s="69"/>
      <c r="D97" s="36"/>
      <c r="F97" s="17"/>
      <c r="G97" s="17"/>
      <c r="H97" s="69"/>
      <c r="I97" s="36"/>
    </row>
    <row r="98" spans="1:9" ht="18.75" x14ac:dyDescent="0.3">
      <c r="A98" s="17"/>
      <c r="B98" s="17"/>
      <c r="C98" s="69"/>
      <c r="D98" s="36"/>
      <c r="F98" s="17"/>
      <c r="G98" s="17"/>
      <c r="H98" s="69"/>
      <c r="I98" s="36"/>
    </row>
    <row r="99" spans="1:9" ht="18.75" x14ac:dyDescent="0.3">
      <c r="A99" s="17"/>
      <c r="B99" s="17"/>
      <c r="C99" s="69"/>
      <c r="D99" s="36"/>
      <c r="F99" s="17"/>
      <c r="G99" s="17"/>
      <c r="H99" s="69"/>
      <c r="I99" s="36"/>
    </row>
    <row r="100" spans="1:9" ht="18.75" x14ac:dyDescent="0.3">
      <c r="A100" s="17"/>
      <c r="B100" s="17"/>
      <c r="C100" s="69"/>
      <c r="D100" s="36"/>
      <c r="F100" s="142" t="s">
        <v>685</v>
      </c>
      <c r="G100" s="143"/>
      <c r="H100" s="143"/>
      <c r="I100" s="144"/>
    </row>
    <row r="101" spans="1:9" ht="31.5" x14ac:dyDescent="0.5">
      <c r="A101" s="152" t="s">
        <v>952</v>
      </c>
      <c r="B101" s="153"/>
      <c r="C101" s="153"/>
      <c r="D101" s="154"/>
      <c r="F101" s="70"/>
      <c r="G101" s="4"/>
      <c r="H101" s="3"/>
      <c r="I101" s="112"/>
    </row>
    <row r="102" spans="1:9" ht="23.25" x14ac:dyDescent="0.35">
      <c r="A102" s="3"/>
      <c r="B102" s="4"/>
      <c r="C102" s="3"/>
      <c r="D102" s="112"/>
      <c r="F102" s="70"/>
      <c r="G102" s="111"/>
      <c r="H102" s="3"/>
      <c r="I102" s="112"/>
    </row>
    <row r="103" spans="1:9" ht="23.25" x14ac:dyDescent="0.35">
      <c r="A103" s="3"/>
      <c r="B103" s="4"/>
      <c r="C103" s="3"/>
      <c r="D103" s="112"/>
      <c r="F103" s="70"/>
      <c r="G103" s="4"/>
      <c r="H103" s="3"/>
      <c r="I103" s="112"/>
    </row>
    <row r="104" spans="1:9" ht="23.25" x14ac:dyDescent="0.35">
      <c r="A104" s="3"/>
      <c r="B104" s="4"/>
      <c r="C104" s="3"/>
      <c r="D104" s="112"/>
      <c r="F104" s="70"/>
      <c r="G104" s="4"/>
      <c r="H104" s="3"/>
      <c r="I104" s="112"/>
    </row>
    <row r="105" spans="1:9" ht="23.25" x14ac:dyDescent="0.35">
      <c r="A105" s="3"/>
      <c r="B105" s="4"/>
      <c r="C105" s="3"/>
      <c r="D105" s="112"/>
      <c r="E105" s="58"/>
      <c r="F105" s="70"/>
      <c r="G105" s="4"/>
      <c r="H105" s="3"/>
      <c r="I105" s="112"/>
    </row>
    <row r="106" spans="1:9" ht="23.25" x14ac:dyDescent="0.35">
      <c r="A106" s="3"/>
      <c r="B106" s="4"/>
      <c r="C106" s="3"/>
      <c r="D106" s="112"/>
      <c r="E106" s="36"/>
      <c r="F106" s="70"/>
      <c r="G106" s="4"/>
      <c r="H106" s="3"/>
      <c r="I106" s="112"/>
    </row>
    <row r="107" spans="1:9" ht="23.25" x14ac:dyDescent="0.35">
      <c r="A107" s="3"/>
      <c r="B107" s="4"/>
      <c r="C107" s="3"/>
      <c r="D107" s="112"/>
      <c r="E107" s="36"/>
      <c r="F107" s="70"/>
      <c r="G107" s="4"/>
      <c r="H107" s="3"/>
      <c r="I107" s="112"/>
    </row>
    <row r="108" spans="1:9" ht="23.25" x14ac:dyDescent="0.35">
      <c r="A108" s="3"/>
      <c r="B108" s="83"/>
      <c r="C108" s="72"/>
      <c r="D108" s="71"/>
      <c r="E108" s="36"/>
      <c r="F108" s="70"/>
      <c r="G108" s="4"/>
      <c r="H108" s="3"/>
      <c r="I108" s="112"/>
    </row>
    <row r="109" spans="1:9" ht="28.5" x14ac:dyDescent="0.45">
      <c r="A109" s="3"/>
      <c r="B109" s="83"/>
      <c r="C109" s="128"/>
      <c r="D109" s="71"/>
      <c r="E109" s="36"/>
      <c r="F109" s="70"/>
      <c r="G109" s="129"/>
      <c r="H109" s="3"/>
      <c r="I109" s="112"/>
    </row>
    <row r="110" spans="1:9" ht="23.25" x14ac:dyDescent="0.35">
      <c r="A110" s="3"/>
      <c r="B110" s="4"/>
      <c r="C110" s="6"/>
      <c r="D110" s="58"/>
      <c r="F110" s="70"/>
      <c r="G110" s="4"/>
      <c r="H110" s="3"/>
      <c r="I110" s="112"/>
    </row>
    <row r="111" spans="1:9" ht="23.25" x14ac:dyDescent="0.35">
      <c r="A111" s="3"/>
      <c r="B111" s="4"/>
      <c r="C111" s="6"/>
      <c r="D111" s="58"/>
      <c r="F111" s="70"/>
      <c r="G111" s="4"/>
      <c r="H111" s="3"/>
      <c r="I111" s="112"/>
    </row>
    <row r="112" spans="1:9" ht="26.25" x14ac:dyDescent="0.4">
      <c r="A112" s="3"/>
      <c r="B112" s="4"/>
      <c r="C112" s="6"/>
      <c r="D112" s="58"/>
      <c r="G112" s="59"/>
      <c r="H112" s="119"/>
      <c r="I112" s="120"/>
    </row>
    <row r="115" spans="1:10" ht="18.75" x14ac:dyDescent="0.3">
      <c r="F115" s="142" t="s">
        <v>733</v>
      </c>
      <c r="G115" s="143"/>
      <c r="H115" s="143"/>
      <c r="I115" s="144"/>
    </row>
    <row r="116" spans="1:10" ht="26.25" x14ac:dyDescent="0.4">
      <c r="A116" s="142" t="s">
        <v>59</v>
      </c>
      <c r="B116" s="143"/>
      <c r="C116" s="143"/>
      <c r="D116" s="144"/>
      <c r="F116" s="121"/>
      <c r="G116" s="121"/>
      <c r="H116" s="121"/>
      <c r="I116" s="124"/>
    </row>
    <row r="117" spans="1:10" ht="26.25" x14ac:dyDescent="0.4">
      <c r="A117" s="72"/>
      <c r="B117" s="83"/>
      <c r="C117" s="72"/>
      <c r="D117" s="71"/>
      <c r="F117" s="121"/>
      <c r="G117" s="139"/>
      <c r="H117" s="140"/>
      <c r="I117" s="140"/>
      <c r="J117" s="141"/>
    </row>
    <row r="118" spans="1:10" ht="26.25" x14ac:dyDescent="0.4">
      <c r="A118" s="72"/>
      <c r="B118" s="83"/>
      <c r="C118" s="72"/>
      <c r="D118" s="71"/>
      <c r="F118" s="123"/>
      <c r="G118" s="121">
        <v>677858</v>
      </c>
      <c r="H118" s="124"/>
      <c r="I118" s="124"/>
    </row>
    <row r="119" spans="1:10" ht="26.25" x14ac:dyDescent="0.4">
      <c r="A119" s="72"/>
      <c r="B119" s="83"/>
      <c r="C119" s="72"/>
      <c r="D119" s="71"/>
      <c r="F119" s="123"/>
      <c r="G119" s="123">
        <v>594158</v>
      </c>
      <c r="H119" s="123"/>
      <c r="I119" s="122"/>
    </row>
    <row r="120" spans="1:10" ht="26.25" x14ac:dyDescent="0.4">
      <c r="A120" s="72"/>
      <c r="B120" s="83"/>
      <c r="C120" s="72"/>
      <c r="D120" s="71"/>
      <c r="F120" s="123"/>
      <c r="G120" s="123">
        <v>1386366</v>
      </c>
      <c r="H120" s="123"/>
      <c r="I120" s="122"/>
    </row>
    <row r="121" spans="1:10" ht="26.25" x14ac:dyDescent="0.4">
      <c r="A121" s="72"/>
      <c r="B121" s="130"/>
      <c r="C121" s="72"/>
      <c r="D121" s="58"/>
      <c r="F121" s="123"/>
      <c r="G121" s="123">
        <v>681145</v>
      </c>
      <c r="H121" s="123"/>
      <c r="I121" s="122"/>
    </row>
    <row r="122" spans="1:10" ht="26.25" x14ac:dyDescent="0.4">
      <c r="A122" s="72"/>
      <c r="B122" s="87"/>
      <c r="C122" s="72"/>
      <c r="D122" s="88"/>
      <c r="F122" s="123"/>
      <c r="G122" s="123">
        <v>900000</v>
      </c>
      <c r="H122" s="123"/>
      <c r="I122" s="122"/>
    </row>
    <row r="123" spans="1:10" ht="26.25" x14ac:dyDescent="0.4">
      <c r="A123" s="72"/>
      <c r="B123" s="87"/>
      <c r="C123" s="72"/>
      <c r="D123" s="88"/>
      <c r="F123" s="123"/>
      <c r="G123" s="123">
        <v>500498</v>
      </c>
      <c r="H123" s="123"/>
      <c r="I123" s="122"/>
    </row>
    <row r="124" spans="1:10" ht="26.25" x14ac:dyDescent="0.4">
      <c r="A124" s="72"/>
      <c r="B124" s="87"/>
      <c r="C124" s="72"/>
      <c r="D124" s="88"/>
      <c r="F124" s="123"/>
      <c r="G124" s="123">
        <v>818007</v>
      </c>
      <c r="H124" s="123"/>
      <c r="I124" s="122"/>
    </row>
    <row r="125" spans="1:10" ht="26.25" x14ac:dyDescent="0.4">
      <c r="A125" s="72"/>
      <c r="B125" s="72"/>
      <c r="C125" s="72"/>
      <c r="D125" s="71"/>
      <c r="F125" s="123"/>
      <c r="G125" s="123">
        <v>267416</v>
      </c>
      <c r="H125" s="123"/>
      <c r="I125" s="122"/>
    </row>
    <row r="126" spans="1:10" ht="26.25" x14ac:dyDescent="0.4">
      <c r="A126" s="72"/>
      <c r="B126" s="72"/>
      <c r="C126" s="72"/>
      <c r="D126" s="71"/>
      <c r="F126" s="123"/>
      <c r="G126" s="123">
        <v>246938</v>
      </c>
      <c r="H126" s="123"/>
      <c r="I126" s="122"/>
    </row>
    <row r="127" spans="1:10" ht="26.25" x14ac:dyDescent="0.4">
      <c r="A127" s="72"/>
      <c r="B127" s="6"/>
      <c r="C127" s="6"/>
      <c r="D127" s="58"/>
      <c r="G127" s="131">
        <v>530000</v>
      </c>
      <c r="I127" s="90"/>
    </row>
    <row r="128" spans="1:10" ht="26.25" x14ac:dyDescent="0.4">
      <c r="A128" s="72"/>
      <c r="B128" s="6"/>
      <c r="C128" s="6"/>
      <c r="D128" s="58"/>
      <c r="G128" s="131">
        <v>500000</v>
      </c>
      <c r="I128" s="90"/>
    </row>
    <row r="129" spans="1:4" ht="26.25" x14ac:dyDescent="0.4">
      <c r="A129" s="72"/>
      <c r="B129" s="6"/>
      <c r="C129" s="117"/>
      <c r="D129" s="118">
        <v>380000</v>
      </c>
    </row>
  </sheetData>
  <mergeCells count="15">
    <mergeCell ref="G117:J117"/>
    <mergeCell ref="A116:D116"/>
    <mergeCell ref="C1:E1"/>
    <mergeCell ref="A3:C4"/>
    <mergeCell ref="A8:D8"/>
    <mergeCell ref="F8:I8"/>
    <mergeCell ref="A30:D30"/>
    <mergeCell ref="F29:I29"/>
    <mergeCell ref="A101:D101"/>
    <mergeCell ref="A51:D51"/>
    <mergeCell ref="F50:I50"/>
    <mergeCell ref="A77:D77"/>
    <mergeCell ref="F76:I76"/>
    <mergeCell ref="F100:I100"/>
    <mergeCell ref="F115:I115"/>
  </mergeCells>
  <phoneticPr fontId="1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96DC-1BB0-470E-AA9A-4B3FBA5210A8}">
  <dimension ref="A1:G419"/>
  <sheetViews>
    <sheetView topLeftCell="A255" zoomScale="95" zoomScaleNormal="95" workbookViewId="0">
      <selection activeCell="B265" sqref="B265"/>
    </sheetView>
  </sheetViews>
  <sheetFormatPr baseColWidth="10" defaultRowHeight="15" x14ac:dyDescent="0.25"/>
  <cols>
    <col min="1" max="1" width="26.85546875" customWidth="1"/>
    <col min="2" max="2" width="45.7109375" customWidth="1"/>
    <col min="3" max="3" width="39.5703125" customWidth="1"/>
    <col min="4" max="4" width="16.7109375" customWidth="1"/>
    <col min="5" max="5" width="19.42578125" customWidth="1"/>
    <col min="6" max="6" width="22.140625" customWidth="1"/>
    <col min="7" max="7" width="20.42578125" customWidth="1"/>
  </cols>
  <sheetData>
    <row r="1" spans="1:7" ht="18.75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</row>
    <row r="2" spans="1:7" ht="18.75" x14ac:dyDescent="0.3">
      <c r="A2" s="22">
        <v>1</v>
      </c>
      <c r="B2" s="22" t="s">
        <v>97</v>
      </c>
      <c r="C2" s="23" t="s">
        <v>98</v>
      </c>
      <c r="D2" s="24">
        <v>640</v>
      </c>
      <c r="E2" s="22">
        <v>900</v>
      </c>
      <c r="F2" s="25" t="s">
        <v>99</v>
      </c>
      <c r="G2" s="26">
        <f>D2*E2</f>
        <v>576000</v>
      </c>
    </row>
    <row r="3" spans="1:7" ht="18.75" x14ac:dyDescent="0.3">
      <c r="A3" s="1" t="s">
        <v>7</v>
      </c>
      <c r="B3" s="7">
        <v>5.4</v>
      </c>
      <c r="C3" s="8" t="s">
        <v>3</v>
      </c>
      <c r="D3" s="8" t="s">
        <v>8</v>
      </c>
      <c r="E3" s="9">
        <v>345600</v>
      </c>
      <c r="F3" s="10"/>
      <c r="G3" s="11">
        <v>230400</v>
      </c>
    </row>
    <row r="4" spans="1:7" ht="18.75" x14ac:dyDescent="0.3">
      <c r="A4" s="2" t="s">
        <v>9</v>
      </c>
      <c r="B4" s="12">
        <v>58</v>
      </c>
      <c r="C4" s="5">
        <v>640</v>
      </c>
      <c r="D4" s="13">
        <f>B4*C4</f>
        <v>37120</v>
      </c>
      <c r="E4" s="21">
        <v>0.6</v>
      </c>
      <c r="F4" s="10"/>
      <c r="G4" s="21">
        <v>0.4</v>
      </c>
    </row>
    <row r="5" spans="1:7" ht="18.75" x14ac:dyDescent="0.3">
      <c r="A5" s="2" t="s">
        <v>80</v>
      </c>
      <c r="B5" s="12">
        <v>65</v>
      </c>
      <c r="C5" s="3">
        <v>640</v>
      </c>
      <c r="D5" s="13">
        <f t="shared" ref="D5:D14" si="0">B5*C5</f>
        <v>41600</v>
      </c>
      <c r="E5" s="10"/>
      <c r="F5" s="10"/>
      <c r="G5" s="10"/>
    </row>
    <row r="6" spans="1:7" ht="18.75" x14ac:dyDescent="0.3">
      <c r="A6" s="2" t="s">
        <v>23</v>
      </c>
      <c r="B6" s="12">
        <v>60</v>
      </c>
      <c r="C6" s="3">
        <v>640</v>
      </c>
      <c r="D6" s="13">
        <f t="shared" si="0"/>
        <v>38400</v>
      </c>
      <c r="E6" s="10"/>
      <c r="F6" s="10"/>
      <c r="G6" s="10"/>
    </row>
    <row r="7" spans="1:7" ht="18.75" x14ac:dyDescent="0.3">
      <c r="A7" s="2" t="s">
        <v>100</v>
      </c>
      <c r="B7" s="12">
        <v>68</v>
      </c>
      <c r="C7" s="5">
        <v>640</v>
      </c>
      <c r="D7" s="13">
        <f t="shared" si="0"/>
        <v>43520</v>
      </c>
      <c r="E7" s="10"/>
      <c r="F7" s="10"/>
      <c r="G7" s="10"/>
    </row>
    <row r="8" spans="1:7" ht="18.75" x14ac:dyDescent="0.3">
      <c r="A8" s="2" t="s">
        <v>24</v>
      </c>
      <c r="B8" s="12">
        <v>66</v>
      </c>
      <c r="C8" s="3">
        <v>640</v>
      </c>
      <c r="D8" s="13">
        <f t="shared" si="0"/>
        <v>42240</v>
      </c>
      <c r="E8" s="10"/>
      <c r="F8" s="10"/>
      <c r="G8" s="14">
        <f>E3-D19-D20-D21-D22-D23-D24-D25-D26-D27-D28-D29-D30-D31-D32-D33-D34</f>
        <v>0</v>
      </c>
    </row>
    <row r="9" spans="1:7" ht="18.75" x14ac:dyDescent="0.3">
      <c r="A9" s="2" t="s">
        <v>101</v>
      </c>
      <c r="B9" s="12">
        <v>100</v>
      </c>
      <c r="C9" s="3">
        <v>640</v>
      </c>
      <c r="D9" s="13">
        <f t="shared" si="0"/>
        <v>64000</v>
      </c>
      <c r="E9" s="10"/>
      <c r="F9" s="10"/>
      <c r="G9" s="10"/>
    </row>
    <row r="10" spans="1:7" ht="18.75" x14ac:dyDescent="0.3">
      <c r="A10" s="2" t="s">
        <v>41</v>
      </c>
      <c r="B10" s="12">
        <v>123</v>
      </c>
      <c r="C10" s="3">
        <v>640</v>
      </c>
      <c r="D10" s="13">
        <f t="shared" si="0"/>
        <v>78720</v>
      </c>
      <c r="E10" s="10"/>
      <c r="F10" s="10"/>
      <c r="G10" s="10"/>
    </row>
    <row r="11" spans="1:7" ht="18.75" x14ac:dyDescent="0.3">
      <c r="A11" s="2"/>
      <c r="B11" s="15"/>
      <c r="C11" s="3"/>
      <c r="D11" s="13">
        <f t="shared" si="0"/>
        <v>0</v>
      </c>
      <c r="E11" s="10"/>
      <c r="F11" s="10"/>
      <c r="G11" s="10"/>
    </row>
    <row r="12" spans="1:7" ht="18.75" x14ac:dyDescent="0.3">
      <c r="A12" s="2"/>
      <c r="B12" s="12"/>
      <c r="C12" s="3"/>
      <c r="D12" s="13">
        <f t="shared" si="0"/>
        <v>0</v>
      </c>
      <c r="E12" s="10"/>
      <c r="F12" s="10"/>
      <c r="G12" s="10"/>
    </row>
    <row r="13" spans="1:7" ht="18.75" x14ac:dyDescent="0.3">
      <c r="A13" s="2"/>
      <c r="B13" s="15"/>
      <c r="C13" s="3"/>
      <c r="D13" s="13">
        <f t="shared" si="0"/>
        <v>0</v>
      </c>
      <c r="E13" s="10"/>
      <c r="F13" s="16"/>
      <c r="G13" s="16"/>
    </row>
    <row r="14" spans="1:7" ht="18.75" x14ac:dyDescent="0.3">
      <c r="A14" s="2"/>
      <c r="B14" s="15"/>
      <c r="C14" s="3"/>
      <c r="D14" s="13">
        <f t="shared" si="0"/>
        <v>0</v>
      </c>
      <c r="E14" s="10"/>
      <c r="F14" s="17"/>
      <c r="G14" s="17"/>
    </row>
    <row r="15" spans="1:7" ht="18.75" x14ac:dyDescent="0.3">
      <c r="A15" s="2"/>
      <c r="B15" s="12"/>
      <c r="C15" s="3"/>
      <c r="D15" s="13"/>
      <c r="E15" s="10"/>
      <c r="F15" s="10"/>
      <c r="G15" s="10"/>
    </row>
    <row r="16" spans="1:7" ht="18.75" x14ac:dyDescent="0.3">
      <c r="A16" s="2"/>
      <c r="B16" s="12"/>
      <c r="C16" s="3"/>
      <c r="D16" s="13"/>
      <c r="E16" s="10"/>
      <c r="F16" s="10"/>
      <c r="G16" s="10"/>
    </row>
    <row r="17" spans="1:7" ht="18.75" x14ac:dyDescent="0.3">
      <c r="A17" s="18"/>
      <c r="B17" s="19"/>
      <c r="C17" s="20"/>
      <c r="D17" s="13"/>
      <c r="E17" s="10"/>
      <c r="F17" s="10"/>
      <c r="G17" s="10"/>
    </row>
    <row r="18" spans="1:7" ht="18.75" x14ac:dyDescent="0.3">
      <c r="A18" s="1" t="s">
        <v>10</v>
      </c>
      <c r="B18" s="1" t="s">
        <v>11</v>
      </c>
      <c r="C18" s="1" t="s">
        <v>12</v>
      </c>
      <c r="D18" s="1" t="s">
        <v>13</v>
      </c>
      <c r="E18" s="1" t="s">
        <v>14</v>
      </c>
      <c r="F18" s="10"/>
      <c r="G18" s="10"/>
    </row>
    <row r="19" spans="1:7" ht="18.75" x14ac:dyDescent="0.3">
      <c r="A19" s="3" t="s">
        <v>15</v>
      </c>
      <c r="B19" s="4" t="s">
        <v>9</v>
      </c>
      <c r="C19" s="3">
        <v>640</v>
      </c>
      <c r="D19" s="5">
        <v>37120</v>
      </c>
      <c r="E19" s="3"/>
      <c r="F19" s="10"/>
      <c r="G19" s="10"/>
    </row>
    <row r="20" spans="1:7" ht="18.75" x14ac:dyDescent="0.3">
      <c r="A20" s="3" t="s">
        <v>15</v>
      </c>
      <c r="B20" s="4" t="s">
        <v>102</v>
      </c>
      <c r="C20" s="3">
        <v>640</v>
      </c>
      <c r="D20" s="5">
        <v>41600</v>
      </c>
      <c r="E20" s="5"/>
      <c r="F20" s="10"/>
      <c r="G20" s="10"/>
    </row>
    <row r="21" spans="1:7" ht="18.75" x14ac:dyDescent="0.3">
      <c r="A21" s="3" t="s">
        <v>17</v>
      </c>
      <c r="B21" s="4" t="s">
        <v>61</v>
      </c>
      <c r="C21" s="3">
        <v>640</v>
      </c>
      <c r="D21" s="5">
        <v>42240</v>
      </c>
      <c r="E21" s="5"/>
      <c r="F21" s="10"/>
      <c r="G21" s="10"/>
    </row>
    <row r="22" spans="1:7" ht="18.75" x14ac:dyDescent="0.3">
      <c r="A22" s="3" t="s">
        <v>59</v>
      </c>
      <c r="B22" s="4" t="s">
        <v>122</v>
      </c>
      <c r="C22" s="5">
        <v>640</v>
      </c>
      <c r="D22" s="5">
        <v>38400</v>
      </c>
      <c r="E22" s="3"/>
      <c r="F22" s="10"/>
      <c r="G22" s="10"/>
    </row>
    <row r="23" spans="1:7" ht="18.75" x14ac:dyDescent="0.3">
      <c r="A23" s="6" t="s">
        <v>63</v>
      </c>
      <c r="B23" s="4" t="s">
        <v>41</v>
      </c>
      <c r="C23" s="3">
        <v>640</v>
      </c>
      <c r="D23" s="5">
        <v>78720</v>
      </c>
      <c r="E23" s="5"/>
      <c r="F23" s="10"/>
      <c r="G23" s="10"/>
    </row>
    <row r="24" spans="1:7" ht="18.75" x14ac:dyDescent="0.3">
      <c r="A24" s="3" t="s">
        <v>104</v>
      </c>
      <c r="B24" s="4" t="s">
        <v>62</v>
      </c>
      <c r="C24" s="3">
        <v>640</v>
      </c>
      <c r="D24" s="5">
        <v>64000</v>
      </c>
      <c r="E24" s="5"/>
      <c r="F24" s="10"/>
      <c r="G24" s="10"/>
    </row>
    <row r="25" spans="1:7" ht="18.75" x14ac:dyDescent="0.3">
      <c r="A25" s="3" t="s">
        <v>29</v>
      </c>
      <c r="B25" s="4" t="s">
        <v>103</v>
      </c>
      <c r="C25" s="3">
        <v>640</v>
      </c>
      <c r="D25" s="5">
        <v>43520</v>
      </c>
      <c r="E25" s="5"/>
      <c r="F25" s="10"/>
      <c r="G25" s="10"/>
    </row>
    <row r="26" spans="1:7" ht="18.75" x14ac:dyDescent="0.3">
      <c r="A26" s="3" t="s">
        <v>123</v>
      </c>
      <c r="B26" s="4" t="s">
        <v>23</v>
      </c>
      <c r="C26" s="3"/>
      <c r="D26" s="5"/>
      <c r="E26" s="3"/>
      <c r="F26" s="10"/>
      <c r="G26" s="10"/>
    </row>
    <row r="27" spans="1:7" ht="18.75" x14ac:dyDescent="0.3">
      <c r="A27" s="3"/>
      <c r="B27" s="4"/>
      <c r="C27" s="3"/>
      <c r="D27" s="5"/>
      <c r="E27" s="3"/>
      <c r="F27" s="10"/>
      <c r="G27" s="10"/>
    </row>
    <row r="28" spans="1:7" ht="18.75" x14ac:dyDescent="0.3">
      <c r="A28" s="3"/>
      <c r="B28" s="4"/>
      <c r="C28" s="3"/>
      <c r="D28" s="5"/>
      <c r="E28" s="3"/>
      <c r="F28" s="10"/>
      <c r="G28" s="10"/>
    </row>
    <row r="29" spans="1:7" ht="18.75" x14ac:dyDescent="0.3">
      <c r="A29" s="3"/>
      <c r="B29" s="4"/>
      <c r="C29" s="3"/>
      <c r="D29" s="5"/>
      <c r="E29" s="3"/>
      <c r="F29" s="10"/>
      <c r="G29" s="10"/>
    </row>
    <row r="30" spans="1:7" ht="18.75" x14ac:dyDescent="0.3">
      <c r="A30" s="3"/>
      <c r="B30" s="4"/>
      <c r="C30" s="3"/>
      <c r="D30" s="5"/>
      <c r="E30" s="3"/>
      <c r="F30" s="10"/>
      <c r="G30" s="10"/>
    </row>
    <row r="31" spans="1:7" ht="18.75" x14ac:dyDescent="0.3">
      <c r="A31" s="3"/>
      <c r="B31" s="4"/>
      <c r="C31" s="3"/>
      <c r="D31" s="5"/>
      <c r="E31" s="3"/>
      <c r="F31" s="10"/>
      <c r="G31" s="10"/>
    </row>
    <row r="32" spans="1:7" ht="18.75" x14ac:dyDescent="0.3">
      <c r="A32" s="3"/>
      <c r="B32" s="4"/>
      <c r="C32" s="3"/>
      <c r="D32" s="5"/>
      <c r="E32" s="3"/>
      <c r="F32" s="10"/>
      <c r="G32" s="10"/>
    </row>
    <row r="33" spans="1:7" ht="18.75" x14ac:dyDescent="0.3">
      <c r="A33" s="3"/>
      <c r="B33" s="4"/>
      <c r="C33" s="3"/>
      <c r="D33" s="5"/>
      <c r="E33" s="3"/>
      <c r="F33" s="10"/>
      <c r="G33" s="10"/>
    </row>
    <row r="34" spans="1:7" ht="18.75" x14ac:dyDescent="0.3">
      <c r="A34" s="3"/>
      <c r="B34" s="4"/>
      <c r="C34" s="5"/>
      <c r="D34" s="5"/>
      <c r="E34" s="3"/>
      <c r="F34" s="10"/>
      <c r="G34" s="10"/>
    </row>
    <row r="37" spans="1:7" ht="18.75" x14ac:dyDescent="0.3">
      <c r="A37" s="35" t="s">
        <v>0</v>
      </c>
      <c r="B37" s="35" t="s">
        <v>1</v>
      </c>
      <c r="C37" s="35" t="s">
        <v>2</v>
      </c>
      <c r="D37" s="35" t="s">
        <v>3</v>
      </c>
      <c r="E37" s="35" t="s">
        <v>4</v>
      </c>
      <c r="F37" s="35" t="s">
        <v>5</v>
      </c>
      <c r="G37" s="35" t="s">
        <v>6</v>
      </c>
    </row>
    <row r="38" spans="1:7" ht="18.75" x14ac:dyDescent="0.3">
      <c r="A38" s="22" t="s">
        <v>138</v>
      </c>
      <c r="B38" s="22" t="s">
        <v>97</v>
      </c>
      <c r="C38" s="23" t="s">
        <v>126</v>
      </c>
      <c r="D38" s="24">
        <v>640</v>
      </c>
      <c r="E38" s="22">
        <v>900</v>
      </c>
      <c r="F38" s="25" t="s">
        <v>125</v>
      </c>
      <c r="G38" s="26">
        <v>576000</v>
      </c>
    </row>
    <row r="39" spans="1:7" ht="18.75" x14ac:dyDescent="0.3">
      <c r="A39" s="1" t="s">
        <v>7</v>
      </c>
      <c r="B39" s="7">
        <v>5.4</v>
      </c>
      <c r="C39" s="8" t="s">
        <v>3</v>
      </c>
      <c r="D39" s="8" t="s">
        <v>8</v>
      </c>
      <c r="E39" s="9">
        <v>345600</v>
      </c>
      <c r="F39" s="10"/>
      <c r="G39" s="11">
        <v>230400</v>
      </c>
    </row>
    <row r="40" spans="1:7" ht="18.75" x14ac:dyDescent="0.3">
      <c r="A40" s="2" t="s">
        <v>128</v>
      </c>
      <c r="B40" s="12">
        <v>80</v>
      </c>
      <c r="C40" s="5">
        <v>640</v>
      </c>
      <c r="D40" s="13">
        <f>B40*C40</f>
        <v>51200</v>
      </c>
      <c r="E40" s="21">
        <v>0.6</v>
      </c>
      <c r="F40" s="10"/>
      <c r="G40" s="21">
        <v>0.4</v>
      </c>
    </row>
    <row r="41" spans="1:7" ht="18.75" x14ac:dyDescent="0.3">
      <c r="A41" s="2" t="s">
        <v>129</v>
      </c>
      <c r="B41" s="12">
        <v>64</v>
      </c>
      <c r="C41" s="3">
        <v>640</v>
      </c>
      <c r="D41" s="13">
        <f t="shared" ref="D41:D50" si="1">B41*C41</f>
        <v>40960</v>
      </c>
      <c r="E41" s="10"/>
      <c r="F41" s="10"/>
      <c r="G41" s="10"/>
    </row>
    <row r="42" spans="1:7" ht="18.75" x14ac:dyDescent="0.3">
      <c r="A42" s="2" t="s">
        <v>61</v>
      </c>
      <c r="B42" s="12">
        <v>68</v>
      </c>
      <c r="C42" s="3">
        <v>640</v>
      </c>
      <c r="D42" s="13">
        <f t="shared" si="1"/>
        <v>43520</v>
      </c>
      <c r="E42" s="10"/>
      <c r="F42" s="10"/>
      <c r="G42" s="10"/>
    </row>
    <row r="43" spans="1:7" ht="18.75" x14ac:dyDescent="0.3">
      <c r="A43" s="2" t="s">
        <v>130</v>
      </c>
      <c r="B43" s="12">
        <v>60</v>
      </c>
      <c r="C43" s="5">
        <v>640</v>
      </c>
      <c r="D43" s="13">
        <f t="shared" si="1"/>
        <v>38400</v>
      </c>
      <c r="E43" s="10"/>
      <c r="F43" s="10"/>
      <c r="G43" s="10"/>
    </row>
    <row r="44" spans="1:7" ht="18.75" x14ac:dyDescent="0.3">
      <c r="A44" s="2" t="s">
        <v>131</v>
      </c>
      <c r="B44" s="12">
        <v>43</v>
      </c>
      <c r="C44" s="3">
        <v>640</v>
      </c>
      <c r="D44" s="13">
        <f t="shared" si="1"/>
        <v>27520</v>
      </c>
      <c r="E44" s="10"/>
      <c r="F44" s="10"/>
      <c r="G44" s="14">
        <f>E39-D55-D56-D57-D58-D59-D60-D61-D62-D63-D64-D65-D66-D67-D68-D69-D70</f>
        <v>0</v>
      </c>
    </row>
    <row r="45" spans="1:7" ht="18.75" x14ac:dyDescent="0.3">
      <c r="A45" s="2" t="s">
        <v>132</v>
      </c>
      <c r="B45" s="12">
        <v>65</v>
      </c>
      <c r="C45" s="3">
        <v>640</v>
      </c>
      <c r="D45" s="13">
        <f t="shared" si="1"/>
        <v>41600</v>
      </c>
      <c r="E45" s="10"/>
      <c r="F45" s="10"/>
      <c r="G45" s="10"/>
    </row>
    <row r="46" spans="1:7" ht="18.75" x14ac:dyDescent="0.3">
      <c r="A46" s="2" t="s">
        <v>67</v>
      </c>
      <c r="B46" s="12">
        <v>160</v>
      </c>
      <c r="C46" s="3">
        <v>640</v>
      </c>
      <c r="D46" s="13">
        <f t="shared" si="1"/>
        <v>102400</v>
      </c>
      <c r="E46" s="10"/>
      <c r="F46" s="10"/>
      <c r="G46" s="10"/>
    </row>
    <row r="47" spans="1:7" ht="18.75" x14ac:dyDescent="0.3">
      <c r="A47" s="2"/>
      <c r="B47" s="15"/>
      <c r="C47" s="3"/>
      <c r="D47" s="13">
        <f t="shared" si="1"/>
        <v>0</v>
      </c>
      <c r="E47" s="10"/>
      <c r="F47" s="10"/>
      <c r="G47" s="10"/>
    </row>
    <row r="48" spans="1:7" ht="18.75" x14ac:dyDescent="0.3">
      <c r="A48" s="2"/>
      <c r="B48" s="12"/>
      <c r="C48" s="3"/>
      <c r="D48" s="13">
        <f t="shared" si="1"/>
        <v>0</v>
      </c>
      <c r="E48" s="10"/>
      <c r="F48" s="10"/>
      <c r="G48" s="10"/>
    </row>
    <row r="49" spans="1:7" ht="18.75" x14ac:dyDescent="0.3">
      <c r="A49" s="2"/>
      <c r="B49" s="15"/>
      <c r="C49" s="3"/>
      <c r="D49" s="13">
        <f t="shared" si="1"/>
        <v>0</v>
      </c>
      <c r="E49" s="10"/>
      <c r="F49" s="16"/>
      <c r="G49" s="16"/>
    </row>
    <row r="50" spans="1:7" ht="18.75" x14ac:dyDescent="0.3">
      <c r="A50" s="2"/>
      <c r="B50" s="15"/>
      <c r="C50" s="3"/>
      <c r="D50" s="13">
        <f t="shared" si="1"/>
        <v>0</v>
      </c>
      <c r="E50" s="10"/>
      <c r="F50" s="17"/>
      <c r="G50" s="17"/>
    </row>
    <row r="51" spans="1:7" ht="18.75" x14ac:dyDescent="0.3">
      <c r="A51" s="2"/>
      <c r="B51" s="12"/>
      <c r="C51" s="3"/>
      <c r="D51" s="13"/>
      <c r="E51" s="10"/>
      <c r="F51" s="10"/>
      <c r="G51" s="10"/>
    </row>
    <row r="52" spans="1:7" ht="18.75" x14ac:dyDescent="0.3">
      <c r="A52" s="2"/>
      <c r="B52" s="12"/>
      <c r="C52" s="3"/>
      <c r="D52" s="13"/>
      <c r="E52" s="10"/>
      <c r="F52" s="10"/>
      <c r="G52" s="10"/>
    </row>
    <row r="53" spans="1:7" ht="18.75" x14ac:dyDescent="0.3">
      <c r="A53" s="18"/>
      <c r="B53" s="19"/>
      <c r="C53" s="20"/>
      <c r="D53" s="13"/>
      <c r="E53" s="10"/>
      <c r="F53" s="10"/>
      <c r="G53" s="10"/>
    </row>
    <row r="54" spans="1:7" ht="18.75" x14ac:dyDescent="0.3">
      <c r="A54" s="1" t="s">
        <v>10</v>
      </c>
      <c r="B54" s="1" t="s">
        <v>11</v>
      </c>
      <c r="C54" s="1" t="s">
        <v>12</v>
      </c>
      <c r="D54" s="1" t="s">
        <v>13</v>
      </c>
      <c r="E54" s="1" t="s">
        <v>14</v>
      </c>
      <c r="F54" s="10"/>
      <c r="G54" s="10"/>
    </row>
    <row r="55" spans="1:7" ht="18.75" x14ac:dyDescent="0.3">
      <c r="A55" s="3" t="s">
        <v>133</v>
      </c>
      <c r="B55" s="4" t="s">
        <v>134</v>
      </c>
      <c r="C55" s="3">
        <v>640</v>
      </c>
      <c r="D55" s="5">
        <v>51200</v>
      </c>
      <c r="E55" s="3"/>
      <c r="F55" s="10"/>
      <c r="G55" s="10"/>
    </row>
    <row r="56" spans="1:7" ht="18.75" x14ac:dyDescent="0.3">
      <c r="A56" s="3" t="s">
        <v>15</v>
      </c>
      <c r="B56" s="4" t="s">
        <v>137</v>
      </c>
      <c r="C56" s="3">
        <v>640</v>
      </c>
      <c r="D56" s="5">
        <v>40960</v>
      </c>
      <c r="E56" s="5"/>
      <c r="F56" s="10"/>
      <c r="G56" s="10"/>
    </row>
    <row r="57" spans="1:7" ht="18.75" x14ac:dyDescent="0.3">
      <c r="A57" s="3" t="s">
        <v>42</v>
      </c>
      <c r="B57" s="4" t="s">
        <v>157</v>
      </c>
      <c r="C57" s="3">
        <v>640</v>
      </c>
      <c r="D57" s="5">
        <v>38400</v>
      </c>
      <c r="E57" s="5"/>
      <c r="F57" s="10"/>
      <c r="G57" s="10"/>
    </row>
    <row r="58" spans="1:7" ht="18.75" x14ac:dyDescent="0.3">
      <c r="A58" s="3"/>
      <c r="B58" s="4" t="s">
        <v>158</v>
      </c>
      <c r="C58" s="5">
        <v>640</v>
      </c>
      <c r="D58" s="5">
        <v>41600</v>
      </c>
      <c r="E58" s="3"/>
      <c r="F58" s="10"/>
      <c r="G58" s="10"/>
    </row>
    <row r="59" spans="1:7" ht="18.75" x14ac:dyDescent="0.3">
      <c r="A59" s="6" t="s">
        <v>63</v>
      </c>
      <c r="B59" s="4" t="s">
        <v>41</v>
      </c>
      <c r="C59" s="3">
        <v>640</v>
      </c>
      <c r="D59" s="5">
        <v>102400</v>
      </c>
      <c r="E59" s="5"/>
      <c r="F59" s="10"/>
      <c r="G59" s="10"/>
    </row>
    <row r="60" spans="1:7" ht="18.75" x14ac:dyDescent="0.3">
      <c r="A60" s="3" t="s">
        <v>167</v>
      </c>
      <c r="B60" s="4" t="s">
        <v>159</v>
      </c>
      <c r="C60" s="3">
        <v>640</v>
      </c>
      <c r="D60" s="5">
        <v>43520</v>
      </c>
      <c r="E60" s="5"/>
      <c r="F60" s="10"/>
      <c r="G60" s="10"/>
    </row>
    <row r="61" spans="1:7" ht="18.75" x14ac:dyDescent="0.3">
      <c r="A61" s="3" t="s">
        <v>15</v>
      </c>
      <c r="B61" s="4" t="s">
        <v>160</v>
      </c>
      <c r="C61" s="3">
        <v>640</v>
      </c>
      <c r="D61" s="5">
        <v>27520</v>
      </c>
      <c r="E61" s="5"/>
      <c r="F61" s="10"/>
      <c r="G61" s="10"/>
    </row>
    <row r="62" spans="1:7" ht="18.75" x14ac:dyDescent="0.3">
      <c r="A62" s="3"/>
      <c r="B62" s="4"/>
      <c r="C62" s="3"/>
      <c r="D62" s="5"/>
      <c r="E62" s="3"/>
      <c r="F62" s="10"/>
      <c r="G62" s="10"/>
    </row>
    <row r="63" spans="1:7" ht="18.75" x14ac:dyDescent="0.3">
      <c r="A63" s="3"/>
      <c r="B63" s="4"/>
      <c r="C63" s="3"/>
      <c r="D63" s="5"/>
      <c r="E63" s="3"/>
      <c r="F63" s="10"/>
      <c r="G63" s="10"/>
    </row>
    <row r="64" spans="1:7" ht="18.75" x14ac:dyDescent="0.3">
      <c r="A64" s="3"/>
      <c r="B64" s="4"/>
      <c r="C64" s="3"/>
      <c r="D64" s="5"/>
      <c r="E64" s="3"/>
      <c r="F64" s="10"/>
      <c r="G64" s="10"/>
    </row>
    <row r="65" spans="1:7" ht="18.75" x14ac:dyDescent="0.3">
      <c r="A65" s="3"/>
      <c r="B65" s="4"/>
      <c r="C65" s="3"/>
      <c r="D65" s="5"/>
      <c r="E65" s="3"/>
      <c r="F65" s="10"/>
      <c r="G65" s="10"/>
    </row>
    <row r="66" spans="1:7" ht="18.75" x14ac:dyDescent="0.3">
      <c r="A66" s="3"/>
      <c r="B66" s="4"/>
      <c r="C66" s="3"/>
      <c r="D66" s="5"/>
      <c r="E66" s="3"/>
      <c r="F66" s="10"/>
      <c r="G66" s="10"/>
    </row>
    <row r="67" spans="1:7" ht="18.75" x14ac:dyDescent="0.3">
      <c r="A67" s="3"/>
      <c r="B67" s="4"/>
      <c r="C67" s="3"/>
      <c r="D67" s="5"/>
      <c r="E67" s="3"/>
      <c r="F67" s="10"/>
      <c r="G67" s="10"/>
    </row>
    <row r="68" spans="1:7" ht="18.75" x14ac:dyDescent="0.3">
      <c r="A68" s="3"/>
      <c r="B68" s="4"/>
      <c r="C68" s="3"/>
      <c r="D68" s="5"/>
      <c r="E68" s="3"/>
      <c r="F68" s="10"/>
      <c r="G68" s="10"/>
    </row>
    <row r="69" spans="1:7" ht="18.75" x14ac:dyDescent="0.3">
      <c r="A69" s="3"/>
      <c r="B69" s="4"/>
      <c r="C69" s="3"/>
      <c r="D69" s="5"/>
      <c r="E69" s="3"/>
      <c r="F69" s="10"/>
      <c r="G69" s="10"/>
    </row>
    <row r="70" spans="1:7" ht="18.75" x14ac:dyDescent="0.3">
      <c r="A70" s="3"/>
      <c r="B70" s="4"/>
      <c r="C70" s="5"/>
      <c r="D70" s="5"/>
      <c r="E70" s="3"/>
      <c r="F70" s="10"/>
      <c r="G70" s="10"/>
    </row>
    <row r="71" spans="1:7" x14ac:dyDescent="0.25">
      <c r="A71" s="55" t="s">
        <v>202</v>
      </c>
      <c r="B71" s="54"/>
      <c r="C71" s="54"/>
      <c r="D71" s="54"/>
    </row>
    <row r="72" spans="1:7" ht="18.75" x14ac:dyDescent="0.3">
      <c r="A72" s="35" t="s">
        <v>0</v>
      </c>
      <c r="B72" s="35" t="s">
        <v>1</v>
      </c>
      <c r="C72" s="35" t="s">
        <v>2</v>
      </c>
      <c r="D72" s="35" t="s">
        <v>3</v>
      </c>
      <c r="E72" s="35" t="s">
        <v>4</v>
      </c>
      <c r="F72" s="35" t="s">
        <v>5</v>
      </c>
      <c r="G72" s="35" t="s">
        <v>6</v>
      </c>
    </row>
    <row r="73" spans="1:7" ht="18.75" x14ac:dyDescent="0.3">
      <c r="A73" s="22" t="s">
        <v>171</v>
      </c>
      <c r="B73" s="22" t="s">
        <v>97</v>
      </c>
      <c r="C73" s="23" t="s">
        <v>47</v>
      </c>
      <c r="D73" s="24">
        <v>550</v>
      </c>
      <c r="E73" s="22">
        <v>900</v>
      </c>
      <c r="F73" s="25" t="s">
        <v>99</v>
      </c>
      <c r="G73" s="26">
        <f>D73*E73</f>
        <v>495000</v>
      </c>
    </row>
    <row r="74" spans="1:7" ht="18.75" x14ac:dyDescent="0.3">
      <c r="A74" s="1" t="s">
        <v>7</v>
      </c>
      <c r="B74" s="7">
        <v>5.4</v>
      </c>
      <c r="C74" s="8" t="s">
        <v>3</v>
      </c>
      <c r="D74" s="8" t="s">
        <v>8</v>
      </c>
      <c r="E74" s="9">
        <v>297000</v>
      </c>
      <c r="F74" s="10"/>
      <c r="G74" s="11">
        <v>198000</v>
      </c>
    </row>
    <row r="75" spans="1:7" ht="18.75" x14ac:dyDescent="0.3">
      <c r="A75" s="2" t="s">
        <v>9</v>
      </c>
      <c r="B75" s="12">
        <v>58</v>
      </c>
      <c r="C75" s="5">
        <v>550</v>
      </c>
      <c r="D75" s="50">
        <f>B75*C75</f>
        <v>31900</v>
      </c>
      <c r="E75" s="21">
        <v>0.6</v>
      </c>
      <c r="F75" s="10"/>
      <c r="G75" s="21">
        <v>0.4</v>
      </c>
    </row>
    <row r="76" spans="1:7" ht="18.75" x14ac:dyDescent="0.3">
      <c r="A76" s="2" t="s">
        <v>209</v>
      </c>
      <c r="B76" s="12">
        <v>89</v>
      </c>
      <c r="C76" s="3">
        <v>550</v>
      </c>
      <c r="D76" s="50">
        <f t="shared" ref="D76:D85" si="2">B76*C76</f>
        <v>48950</v>
      </c>
      <c r="E76" s="10"/>
      <c r="F76" s="10"/>
      <c r="G76" s="10"/>
    </row>
    <row r="77" spans="1:7" ht="18.75" x14ac:dyDescent="0.3">
      <c r="A77" s="2" t="s">
        <v>70</v>
      </c>
      <c r="B77" s="12">
        <v>64</v>
      </c>
      <c r="C77" s="3">
        <v>550</v>
      </c>
      <c r="D77" s="50">
        <f t="shared" si="2"/>
        <v>35200</v>
      </c>
      <c r="E77" s="10"/>
      <c r="F77" s="10"/>
      <c r="G77" s="10"/>
    </row>
    <row r="78" spans="1:7" ht="18.75" x14ac:dyDescent="0.3">
      <c r="A78" s="2" t="s">
        <v>61</v>
      </c>
      <c r="B78" s="12">
        <v>66</v>
      </c>
      <c r="C78" s="5">
        <v>550</v>
      </c>
      <c r="D78" s="50">
        <f t="shared" si="2"/>
        <v>36300</v>
      </c>
      <c r="E78" s="10"/>
      <c r="F78" s="10"/>
      <c r="G78" s="10"/>
    </row>
    <row r="79" spans="1:7" ht="18.75" x14ac:dyDescent="0.3">
      <c r="A79" s="2" t="s">
        <v>78</v>
      </c>
      <c r="B79" s="12">
        <v>86</v>
      </c>
      <c r="C79" s="3">
        <v>550</v>
      </c>
      <c r="D79" s="50">
        <f t="shared" si="2"/>
        <v>47300</v>
      </c>
      <c r="E79" s="10"/>
      <c r="F79" s="10"/>
      <c r="G79" s="14">
        <f>E74-D90-D91-D92-D93-D94-D95-D96-D97-D98-D99-D100-D101-D102-D103-D104-D105</f>
        <v>0</v>
      </c>
    </row>
    <row r="80" spans="1:7" ht="18.75" x14ac:dyDescent="0.3">
      <c r="A80" s="2" t="s">
        <v>101</v>
      </c>
      <c r="B80" s="12">
        <v>43</v>
      </c>
      <c r="C80" s="3">
        <v>550</v>
      </c>
      <c r="D80" s="50">
        <f t="shared" si="2"/>
        <v>23650</v>
      </c>
      <c r="E80" s="10"/>
      <c r="F80" s="10"/>
      <c r="G80" s="10"/>
    </row>
    <row r="81" spans="1:7" ht="18.75" x14ac:dyDescent="0.3">
      <c r="A81" s="2" t="s">
        <v>41</v>
      </c>
      <c r="B81" s="12">
        <v>74</v>
      </c>
      <c r="C81" s="3">
        <v>550</v>
      </c>
      <c r="D81" s="50">
        <f t="shared" si="2"/>
        <v>40700</v>
      </c>
      <c r="E81" s="10"/>
      <c r="F81" s="10"/>
      <c r="G81" s="10"/>
    </row>
    <row r="82" spans="1:7" ht="18.75" x14ac:dyDescent="0.3">
      <c r="A82" s="2" t="s">
        <v>156</v>
      </c>
      <c r="B82" s="15">
        <v>60</v>
      </c>
      <c r="C82" s="3">
        <v>550</v>
      </c>
      <c r="D82" s="50">
        <f t="shared" si="2"/>
        <v>33000</v>
      </c>
      <c r="E82" s="10"/>
      <c r="F82" s="10"/>
      <c r="G82" s="10"/>
    </row>
    <row r="83" spans="1:7" ht="18.75" x14ac:dyDescent="0.3">
      <c r="A83" s="2"/>
      <c r="B83" s="12"/>
      <c r="C83" s="3"/>
      <c r="D83" s="50">
        <f t="shared" si="2"/>
        <v>0</v>
      </c>
      <c r="E83" s="10"/>
      <c r="F83" s="10"/>
      <c r="G83" s="10"/>
    </row>
    <row r="84" spans="1:7" ht="18.75" x14ac:dyDescent="0.3">
      <c r="A84" s="2"/>
      <c r="B84" s="15"/>
      <c r="C84" s="3"/>
      <c r="D84" s="50">
        <f t="shared" si="2"/>
        <v>0</v>
      </c>
      <c r="E84" s="10"/>
      <c r="F84" s="16"/>
      <c r="G84" s="16"/>
    </row>
    <row r="85" spans="1:7" ht="18.75" x14ac:dyDescent="0.3">
      <c r="A85" s="2"/>
      <c r="B85" s="15"/>
      <c r="C85" s="3"/>
      <c r="D85" s="50">
        <f t="shared" si="2"/>
        <v>0</v>
      </c>
      <c r="E85" s="10"/>
      <c r="F85" s="17"/>
      <c r="G85" s="17"/>
    </row>
    <row r="86" spans="1:7" ht="18.75" x14ac:dyDescent="0.3">
      <c r="A86" s="2"/>
      <c r="B86" s="12"/>
      <c r="C86" s="3"/>
      <c r="D86" s="13"/>
      <c r="E86" s="10"/>
      <c r="F86" s="10"/>
      <c r="G86" s="10"/>
    </row>
    <row r="87" spans="1:7" ht="18.75" x14ac:dyDescent="0.3">
      <c r="A87" s="2"/>
      <c r="B87" s="12"/>
      <c r="C87" s="3"/>
      <c r="D87" s="13"/>
      <c r="E87" s="10"/>
      <c r="F87" s="10"/>
      <c r="G87" s="10"/>
    </row>
    <row r="88" spans="1:7" ht="18.75" x14ac:dyDescent="0.3">
      <c r="A88" s="18"/>
      <c r="B88" s="19"/>
      <c r="C88" s="20"/>
      <c r="D88" s="13"/>
      <c r="E88" s="10"/>
      <c r="F88" s="10"/>
      <c r="G88" s="10"/>
    </row>
    <row r="89" spans="1:7" ht="18.75" x14ac:dyDescent="0.3">
      <c r="A89" s="1" t="s">
        <v>10</v>
      </c>
      <c r="B89" s="1" t="s">
        <v>11</v>
      </c>
      <c r="C89" s="1" t="s">
        <v>12</v>
      </c>
      <c r="D89" s="1" t="s">
        <v>13</v>
      </c>
      <c r="E89" s="1" t="s">
        <v>14</v>
      </c>
      <c r="F89" s="10"/>
      <c r="G89" s="10"/>
    </row>
    <row r="90" spans="1:7" ht="18.75" x14ac:dyDescent="0.3">
      <c r="A90" s="3" t="s">
        <v>185</v>
      </c>
      <c r="B90" s="4" t="s">
        <v>41</v>
      </c>
      <c r="C90" s="3">
        <v>550</v>
      </c>
      <c r="D90" s="49">
        <v>40700</v>
      </c>
      <c r="E90" s="3"/>
      <c r="F90" s="10"/>
      <c r="G90" s="10"/>
    </row>
    <row r="91" spans="1:7" ht="18.75" x14ac:dyDescent="0.3">
      <c r="A91" s="3" t="s">
        <v>104</v>
      </c>
      <c r="B91" s="4" t="s">
        <v>207</v>
      </c>
      <c r="C91" s="3">
        <v>205</v>
      </c>
      <c r="D91" s="49">
        <v>11890</v>
      </c>
      <c r="E91" s="5"/>
      <c r="F91" s="10"/>
      <c r="G91" s="10"/>
    </row>
    <row r="92" spans="1:7" ht="18.75" x14ac:dyDescent="0.3">
      <c r="A92" s="3" t="s">
        <v>16</v>
      </c>
      <c r="B92" s="4" t="s">
        <v>208</v>
      </c>
      <c r="C92" s="33">
        <v>205</v>
      </c>
      <c r="D92" s="49">
        <v>17630</v>
      </c>
      <c r="E92" s="5"/>
      <c r="F92" s="10"/>
      <c r="G92" s="10"/>
    </row>
    <row r="93" spans="1:7" ht="18.75" x14ac:dyDescent="0.3">
      <c r="A93" s="3" t="s">
        <v>15</v>
      </c>
      <c r="B93" s="4" t="s">
        <v>210</v>
      </c>
      <c r="C93" s="5">
        <v>345</v>
      </c>
      <c r="D93" s="49">
        <v>49680</v>
      </c>
      <c r="E93" s="3"/>
      <c r="F93" s="10"/>
      <c r="G93" s="10"/>
    </row>
    <row r="94" spans="1:7" ht="18.75" x14ac:dyDescent="0.3">
      <c r="A94" s="6" t="s">
        <v>17</v>
      </c>
      <c r="B94" s="4" t="s">
        <v>211</v>
      </c>
      <c r="C94" s="3">
        <v>550</v>
      </c>
      <c r="D94" s="49">
        <v>36300</v>
      </c>
      <c r="E94" s="5"/>
      <c r="F94" s="10"/>
      <c r="G94" s="10"/>
    </row>
    <row r="95" spans="1:7" ht="18.75" x14ac:dyDescent="0.3">
      <c r="A95" s="3" t="s">
        <v>17</v>
      </c>
      <c r="B95" s="4" t="s">
        <v>70</v>
      </c>
      <c r="C95" s="3">
        <v>550</v>
      </c>
      <c r="D95" s="49">
        <v>35200</v>
      </c>
      <c r="E95" s="5"/>
      <c r="F95" s="10"/>
      <c r="G95" s="10"/>
    </row>
    <row r="96" spans="1:7" ht="18.75" x14ac:dyDescent="0.3">
      <c r="A96" s="3" t="s">
        <v>104</v>
      </c>
      <c r="B96" s="4" t="s">
        <v>212</v>
      </c>
      <c r="C96" s="3">
        <v>550</v>
      </c>
      <c r="D96" s="49">
        <v>23650</v>
      </c>
      <c r="E96" s="5"/>
      <c r="F96" s="10"/>
      <c r="G96" s="10"/>
    </row>
    <row r="97" spans="1:7" ht="18.75" x14ac:dyDescent="0.3">
      <c r="A97" s="3" t="s">
        <v>59</v>
      </c>
      <c r="B97" s="4" t="s">
        <v>156</v>
      </c>
      <c r="C97" s="3">
        <v>550</v>
      </c>
      <c r="D97" s="49">
        <v>33000</v>
      </c>
      <c r="E97" s="3"/>
      <c r="F97" s="10"/>
      <c r="G97" s="10"/>
    </row>
    <row r="98" spans="1:7" ht="18.75" x14ac:dyDescent="0.3">
      <c r="A98" s="3" t="s">
        <v>16</v>
      </c>
      <c r="B98" s="4" t="s">
        <v>213</v>
      </c>
      <c r="C98" s="3">
        <v>550</v>
      </c>
      <c r="D98" s="49">
        <v>48950</v>
      </c>
      <c r="E98" s="3"/>
      <c r="F98" s="10"/>
      <c r="G98" s="10"/>
    </row>
    <row r="99" spans="1:7" ht="18.75" x14ac:dyDescent="0.3">
      <c r="A99" s="3"/>
      <c r="B99" s="4"/>
      <c r="C99" s="3"/>
      <c r="D99" s="49"/>
      <c r="E99" s="3"/>
      <c r="F99" s="10"/>
      <c r="G99" s="10"/>
    </row>
    <row r="100" spans="1:7" ht="18.75" x14ac:dyDescent="0.3">
      <c r="A100" s="3"/>
      <c r="B100" s="4"/>
      <c r="C100" s="3"/>
      <c r="D100" s="49"/>
      <c r="E100" s="3"/>
      <c r="F100" s="10"/>
      <c r="G100" s="10"/>
    </row>
    <row r="101" spans="1:7" ht="18.75" x14ac:dyDescent="0.3">
      <c r="A101" s="3"/>
      <c r="B101" s="4"/>
      <c r="C101" s="3"/>
      <c r="D101" s="49"/>
      <c r="E101" s="3"/>
      <c r="F101" s="10"/>
      <c r="G101" s="10"/>
    </row>
    <row r="102" spans="1:7" ht="18.75" x14ac:dyDescent="0.3">
      <c r="A102" s="3"/>
      <c r="B102" s="4"/>
      <c r="C102" s="3"/>
      <c r="D102" s="49"/>
      <c r="E102" s="3"/>
      <c r="F102" s="10"/>
      <c r="G102" s="10"/>
    </row>
    <row r="104" spans="1:7" x14ac:dyDescent="0.25">
      <c r="B104" s="146" t="s">
        <v>334</v>
      </c>
      <c r="C104" s="146"/>
      <c r="D104" s="146"/>
    </row>
    <row r="105" spans="1:7" x14ac:dyDescent="0.25">
      <c r="B105" s="146"/>
      <c r="C105" s="146"/>
      <c r="D105" s="146"/>
    </row>
    <row r="108" spans="1:7" ht="18.75" x14ac:dyDescent="0.3">
      <c r="A108" s="35" t="s">
        <v>0</v>
      </c>
      <c r="B108" s="35" t="s">
        <v>1</v>
      </c>
      <c r="C108" s="35" t="s">
        <v>2</v>
      </c>
      <c r="D108" s="35" t="s">
        <v>3</v>
      </c>
      <c r="E108" s="35" t="s">
        <v>4</v>
      </c>
      <c r="F108" s="35" t="s">
        <v>5</v>
      </c>
      <c r="G108" s="35" t="s">
        <v>6</v>
      </c>
    </row>
    <row r="109" spans="1:7" ht="18.75" x14ac:dyDescent="0.3">
      <c r="A109" s="22">
        <v>4</v>
      </c>
      <c r="B109" s="22" t="s">
        <v>97</v>
      </c>
      <c r="C109" s="23" t="s">
        <v>47</v>
      </c>
      <c r="D109" s="24">
        <v>700</v>
      </c>
      <c r="E109" s="22">
        <v>900</v>
      </c>
      <c r="F109" s="25" t="s">
        <v>341</v>
      </c>
      <c r="G109" s="26">
        <f>D109*E109</f>
        <v>630000</v>
      </c>
    </row>
    <row r="110" spans="1:7" ht="18.75" x14ac:dyDescent="0.3">
      <c r="A110" s="1" t="s">
        <v>7</v>
      </c>
      <c r="B110" s="7">
        <v>5.4</v>
      </c>
      <c r="C110" s="8" t="s">
        <v>3</v>
      </c>
      <c r="D110" s="8" t="s">
        <v>8</v>
      </c>
      <c r="E110" s="46">
        <v>378000</v>
      </c>
      <c r="F110" s="10"/>
      <c r="G110" s="11">
        <v>252000</v>
      </c>
    </row>
    <row r="111" spans="1:7" ht="18.75" x14ac:dyDescent="0.3">
      <c r="A111" s="2" t="s">
        <v>335</v>
      </c>
      <c r="B111" s="12">
        <v>80</v>
      </c>
      <c r="C111" s="5">
        <v>700</v>
      </c>
      <c r="D111" s="50">
        <f>B111*C111</f>
        <v>56000</v>
      </c>
      <c r="E111" s="21">
        <v>0.6</v>
      </c>
      <c r="F111" s="10"/>
      <c r="G111" s="21">
        <v>0.4</v>
      </c>
    </row>
    <row r="112" spans="1:7" ht="18.75" x14ac:dyDescent="0.3">
      <c r="A112" s="2" t="s">
        <v>336</v>
      </c>
      <c r="B112" s="12">
        <v>64</v>
      </c>
      <c r="C112" s="3">
        <v>700</v>
      </c>
      <c r="D112" s="50">
        <f t="shared" ref="D112:D120" si="3">B112*C112</f>
        <v>44800</v>
      </c>
      <c r="E112" s="10"/>
      <c r="F112" s="10"/>
      <c r="G112" s="10"/>
    </row>
    <row r="113" spans="1:7" ht="18.75" x14ac:dyDescent="0.3">
      <c r="A113" s="2" t="s">
        <v>61</v>
      </c>
      <c r="B113" s="12">
        <v>68</v>
      </c>
      <c r="C113" s="3">
        <v>700</v>
      </c>
      <c r="D113" s="50">
        <f t="shared" si="3"/>
        <v>47600</v>
      </c>
      <c r="E113" s="10"/>
      <c r="F113" s="10"/>
      <c r="G113" s="10"/>
    </row>
    <row r="114" spans="1:7" ht="18.75" x14ac:dyDescent="0.3">
      <c r="A114" s="2" t="s">
        <v>337</v>
      </c>
      <c r="B114" s="12">
        <v>55</v>
      </c>
      <c r="C114" s="5">
        <v>700</v>
      </c>
      <c r="D114" s="50">
        <f t="shared" si="3"/>
        <v>38500</v>
      </c>
      <c r="E114" s="10"/>
      <c r="F114" s="10"/>
      <c r="G114" s="10"/>
    </row>
    <row r="115" spans="1:7" ht="18.75" x14ac:dyDescent="0.3">
      <c r="A115" s="2" t="s">
        <v>130</v>
      </c>
      <c r="B115" s="12">
        <v>60</v>
      </c>
      <c r="C115" s="3">
        <v>700</v>
      </c>
      <c r="D115" s="50">
        <f t="shared" si="3"/>
        <v>42000</v>
      </c>
      <c r="E115" s="10"/>
      <c r="F115" s="10"/>
      <c r="G115" s="14">
        <f>E110-D126-D127-D128-D129-D130-D131-D132-D133-D134-D135-D136-D137-D138-D139-D140-D141</f>
        <v>0</v>
      </c>
    </row>
    <row r="116" spans="1:7" ht="18.75" x14ac:dyDescent="0.3">
      <c r="A116" s="2" t="s">
        <v>338</v>
      </c>
      <c r="B116" s="12">
        <v>43</v>
      </c>
      <c r="C116" s="3">
        <v>700</v>
      </c>
      <c r="D116" s="50">
        <f t="shared" si="3"/>
        <v>30100</v>
      </c>
      <c r="E116" s="10"/>
      <c r="F116" s="10"/>
      <c r="G116" s="10"/>
    </row>
    <row r="117" spans="1:7" ht="18.75" x14ac:dyDescent="0.3">
      <c r="A117" s="2" t="s">
        <v>339</v>
      </c>
      <c r="B117" s="12">
        <v>65</v>
      </c>
      <c r="C117" s="3">
        <v>700</v>
      </c>
      <c r="D117" s="50">
        <f t="shared" si="3"/>
        <v>45500</v>
      </c>
      <c r="E117" s="10"/>
      <c r="F117" s="10"/>
      <c r="G117" s="10"/>
    </row>
    <row r="118" spans="1:7" ht="18.75" x14ac:dyDescent="0.3">
      <c r="A118" s="2" t="s">
        <v>41</v>
      </c>
      <c r="B118" s="15">
        <v>105</v>
      </c>
      <c r="C118" s="3">
        <v>700</v>
      </c>
      <c r="D118" s="50">
        <f t="shared" si="3"/>
        <v>73500</v>
      </c>
      <c r="E118" s="10"/>
      <c r="F118" s="10"/>
      <c r="G118" s="10"/>
    </row>
    <row r="119" spans="1:7" ht="18.75" x14ac:dyDescent="0.3">
      <c r="A119" s="2"/>
      <c r="B119" s="12"/>
      <c r="C119" s="3"/>
      <c r="D119" s="50">
        <f t="shared" si="3"/>
        <v>0</v>
      </c>
      <c r="E119" s="10"/>
      <c r="F119" s="10"/>
      <c r="G119" s="10"/>
    </row>
    <row r="120" spans="1:7" ht="18.75" x14ac:dyDescent="0.3">
      <c r="A120" s="2"/>
      <c r="B120" s="15"/>
      <c r="C120" s="3"/>
      <c r="D120" s="50">
        <f t="shared" si="3"/>
        <v>0</v>
      </c>
      <c r="E120" s="10"/>
      <c r="F120" s="16"/>
      <c r="G120" s="16"/>
    </row>
    <row r="121" spans="1:7" ht="18.75" x14ac:dyDescent="0.3">
      <c r="A121" s="2"/>
      <c r="B121" s="15"/>
      <c r="C121" s="3"/>
      <c r="D121" s="50"/>
      <c r="E121" s="10"/>
      <c r="F121" s="17"/>
      <c r="G121" s="17"/>
    </row>
    <row r="122" spans="1:7" ht="18.75" x14ac:dyDescent="0.3">
      <c r="A122" s="2"/>
      <c r="B122" s="12"/>
      <c r="C122" s="3"/>
      <c r="D122" s="13"/>
      <c r="E122" s="10"/>
      <c r="F122" s="10"/>
      <c r="G122" s="10"/>
    </row>
    <row r="123" spans="1:7" ht="18.75" x14ac:dyDescent="0.3">
      <c r="A123" s="2"/>
      <c r="B123" s="12"/>
      <c r="C123" s="3"/>
      <c r="D123" s="13"/>
      <c r="E123" s="10"/>
      <c r="F123" s="10"/>
      <c r="G123" s="10"/>
    </row>
    <row r="124" spans="1:7" ht="18.75" x14ac:dyDescent="0.3">
      <c r="A124" s="18"/>
      <c r="B124" s="19"/>
      <c r="C124" s="20"/>
      <c r="D124" s="13"/>
      <c r="E124" s="10"/>
      <c r="F124" s="10"/>
      <c r="G124" s="10"/>
    </row>
    <row r="125" spans="1:7" ht="18.75" x14ac:dyDescent="0.3">
      <c r="A125" s="1" t="s">
        <v>10</v>
      </c>
      <c r="B125" s="1" t="s">
        <v>11</v>
      </c>
      <c r="C125" s="1" t="s">
        <v>12</v>
      </c>
      <c r="D125" s="1" t="s">
        <v>13</v>
      </c>
      <c r="E125" s="1" t="s">
        <v>14</v>
      </c>
      <c r="F125" s="10"/>
      <c r="G125" s="10"/>
    </row>
    <row r="126" spans="1:7" ht="18.75" x14ac:dyDescent="0.3">
      <c r="A126" s="3" t="s">
        <v>42</v>
      </c>
      <c r="B126" s="4" t="s">
        <v>342</v>
      </c>
      <c r="C126" s="3">
        <v>700</v>
      </c>
      <c r="D126" s="49">
        <v>56000</v>
      </c>
      <c r="E126" s="3"/>
      <c r="F126" s="10"/>
      <c r="G126" s="10"/>
    </row>
    <row r="127" spans="1:7" ht="18.75" x14ac:dyDescent="0.3">
      <c r="A127" s="3" t="s">
        <v>15</v>
      </c>
      <c r="B127" s="4" t="s">
        <v>129</v>
      </c>
      <c r="C127" s="3">
        <v>700</v>
      </c>
      <c r="D127" s="49">
        <v>44800</v>
      </c>
      <c r="E127" s="5"/>
      <c r="F127" s="10"/>
      <c r="G127" s="10"/>
    </row>
    <row r="128" spans="1:7" ht="18.75" x14ac:dyDescent="0.3">
      <c r="A128" s="3" t="s">
        <v>29</v>
      </c>
      <c r="B128" s="4" t="s">
        <v>354</v>
      </c>
      <c r="C128" s="3">
        <v>260</v>
      </c>
      <c r="D128" s="49">
        <v>17680</v>
      </c>
      <c r="E128" s="5"/>
      <c r="F128" s="10"/>
      <c r="G128" s="10"/>
    </row>
    <row r="129" spans="1:7" ht="18.75" x14ac:dyDescent="0.3">
      <c r="A129" s="3" t="s">
        <v>59</v>
      </c>
      <c r="B129" s="4" t="s">
        <v>364</v>
      </c>
      <c r="C129" s="5">
        <v>90</v>
      </c>
      <c r="D129" s="49">
        <v>6120</v>
      </c>
      <c r="E129" s="3"/>
      <c r="F129" s="10"/>
      <c r="G129" s="10"/>
    </row>
    <row r="130" spans="1:7" ht="18.75" x14ac:dyDescent="0.3">
      <c r="A130" s="6" t="s">
        <v>332</v>
      </c>
      <c r="B130" s="4" t="s">
        <v>355</v>
      </c>
      <c r="C130" s="3">
        <v>350</v>
      </c>
      <c r="D130" s="49">
        <v>23800</v>
      </c>
      <c r="E130" s="5"/>
      <c r="F130" s="10"/>
      <c r="G130" s="10"/>
    </row>
    <row r="131" spans="1:7" ht="18.75" x14ac:dyDescent="0.3">
      <c r="A131" s="3" t="s">
        <v>113</v>
      </c>
      <c r="B131" s="4" t="s">
        <v>176</v>
      </c>
      <c r="C131" s="3">
        <v>700</v>
      </c>
      <c r="D131" s="49">
        <v>38500</v>
      </c>
      <c r="E131" s="5"/>
      <c r="F131" s="10"/>
      <c r="G131" s="10"/>
    </row>
    <row r="132" spans="1:7" ht="18.75" x14ac:dyDescent="0.3">
      <c r="A132" s="3" t="s">
        <v>15</v>
      </c>
      <c r="B132" s="4" t="s">
        <v>356</v>
      </c>
      <c r="C132" s="3">
        <v>700</v>
      </c>
      <c r="D132" s="49">
        <v>30100</v>
      </c>
      <c r="E132" s="5"/>
      <c r="F132" s="10"/>
      <c r="G132" s="10"/>
    </row>
    <row r="133" spans="1:7" ht="18.75" x14ac:dyDescent="0.3">
      <c r="A133" s="3" t="s">
        <v>332</v>
      </c>
      <c r="B133" s="4" t="s">
        <v>357</v>
      </c>
      <c r="C133" s="3">
        <v>700</v>
      </c>
      <c r="D133" s="49">
        <v>45500</v>
      </c>
      <c r="E133" s="3"/>
      <c r="F133" s="10"/>
      <c r="G133" s="10"/>
    </row>
    <row r="134" spans="1:7" ht="18.75" x14ac:dyDescent="0.3">
      <c r="A134" s="3" t="s">
        <v>185</v>
      </c>
      <c r="B134" s="4" t="s">
        <v>358</v>
      </c>
      <c r="C134" s="3">
        <v>700</v>
      </c>
      <c r="D134" s="49">
        <v>73500</v>
      </c>
      <c r="E134" s="3"/>
      <c r="F134" s="10"/>
      <c r="G134" s="10"/>
    </row>
    <row r="135" spans="1:7" ht="18.75" x14ac:dyDescent="0.3">
      <c r="A135" s="3" t="s">
        <v>42</v>
      </c>
      <c r="B135" s="4" t="s">
        <v>359</v>
      </c>
      <c r="C135" s="3">
        <v>700</v>
      </c>
      <c r="D135" s="49">
        <v>42000</v>
      </c>
      <c r="E135" s="3"/>
      <c r="F135" s="10"/>
      <c r="G135" s="10"/>
    </row>
    <row r="136" spans="1:7" ht="18.75" x14ac:dyDescent="0.3">
      <c r="A136" s="3"/>
      <c r="B136" s="4"/>
      <c r="C136" s="3"/>
      <c r="D136" s="49"/>
      <c r="E136" s="3"/>
      <c r="F136" s="10"/>
      <c r="G136" s="10"/>
    </row>
    <row r="137" spans="1:7" ht="18.75" x14ac:dyDescent="0.3">
      <c r="A137" s="3"/>
      <c r="B137" s="4"/>
      <c r="C137" s="3"/>
      <c r="D137" s="49"/>
      <c r="E137" s="3"/>
      <c r="F137" s="10"/>
      <c r="G137" s="10"/>
    </row>
    <row r="141" spans="1:7" x14ac:dyDescent="0.25">
      <c r="A141" s="146" t="s">
        <v>394</v>
      </c>
      <c r="B141" s="146"/>
      <c r="C141" s="146"/>
    </row>
    <row r="142" spans="1:7" x14ac:dyDescent="0.25">
      <c r="A142" s="146"/>
      <c r="B142" s="146"/>
      <c r="C142" s="146"/>
    </row>
    <row r="143" spans="1:7" x14ac:dyDescent="0.25">
      <c r="A143">
        <f ca="1">A143:G169</f>
        <v>0</v>
      </c>
    </row>
    <row r="144" spans="1:7" ht="18.75" x14ac:dyDescent="0.3">
      <c r="A144" s="35" t="s">
        <v>0</v>
      </c>
      <c r="B144" s="35" t="s">
        <v>1</v>
      </c>
      <c r="C144" s="35" t="s">
        <v>2</v>
      </c>
      <c r="D144" s="35" t="s">
        <v>3</v>
      </c>
      <c r="E144" s="35" t="s">
        <v>4</v>
      </c>
      <c r="F144" s="35" t="s">
        <v>5</v>
      </c>
      <c r="G144" s="35" t="s">
        <v>6</v>
      </c>
    </row>
    <row r="145" spans="1:7" ht="18.75" x14ac:dyDescent="0.3">
      <c r="A145" s="22">
        <v>5</v>
      </c>
      <c r="B145" s="22" t="s">
        <v>97</v>
      </c>
      <c r="C145" s="23" t="s">
        <v>398</v>
      </c>
      <c r="D145" s="24">
        <v>720</v>
      </c>
      <c r="E145" s="22">
        <v>800</v>
      </c>
      <c r="F145" s="25" t="s">
        <v>397</v>
      </c>
      <c r="G145" s="26">
        <f>D145*E145</f>
        <v>576000</v>
      </c>
    </row>
    <row r="146" spans="1:7" ht="18.75" x14ac:dyDescent="0.3">
      <c r="A146" s="1" t="s">
        <v>7</v>
      </c>
      <c r="B146" s="7">
        <v>4.8</v>
      </c>
      <c r="C146" s="8" t="s">
        <v>3</v>
      </c>
      <c r="D146" s="8" t="s">
        <v>8</v>
      </c>
      <c r="E146" s="46">
        <v>345600</v>
      </c>
      <c r="F146" s="10"/>
      <c r="G146" s="11">
        <v>252000</v>
      </c>
    </row>
    <row r="147" spans="1:7" ht="18.75" x14ac:dyDescent="0.3">
      <c r="A147" s="2" t="s">
        <v>335</v>
      </c>
      <c r="B147" s="12">
        <v>80</v>
      </c>
      <c r="C147" s="5">
        <v>720</v>
      </c>
      <c r="D147" s="50">
        <f>B147*C147</f>
        <v>57600</v>
      </c>
      <c r="E147" s="21">
        <v>0.6</v>
      </c>
      <c r="F147" s="10"/>
      <c r="G147" s="21">
        <v>0.4</v>
      </c>
    </row>
    <row r="148" spans="1:7" ht="18.75" x14ac:dyDescent="0.3">
      <c r="A148" s="2" t="s">
        <v>363</v>
      </c>
      <c r="B148" s="12">
        <v>64</v>
      </c>
      <c r="C148" s="3">
        <v>720</v>
      </c>
      <c r="D148" s="50">
        <f t="shared" ref="D148:D156" si="4">B148*C148</f>
        <v>46080</v>
      </c>
      <c r="E148" s="10"/>
      <c r="F148" s="10"/>
      <c r="G148" s="10"/>
    </row>
    <row r="149" spans="1:7" ht="18.75" x14ac:dyDescent="0.3">
      <c r="A149" s="2" t="s">
        <v>130</v>
      </c>
      <c r="B149" s="12">
        <v>60</v>
      </c>
      <c r="C149" s="3">
        <v>720</v>
      </c>
      <c r="D149" s="50">
        <f t="shared" si="4"/>
        <v>43200</v>
      </c>
      <c r="E149" s="10"/>
      <c r="F149" s="10"/>
      <c r="G149" s="10"/>
    </row>
    <row r="150" spans="1:7" ht="18.75" x14ac:dyDescent="0.3">
      <c r="A150" s="2" t="s">
        <v>396</v>
      </c>
      <c r="B150" s="12">
        <v>68</v>
      </c>
      <c r="C150" s="5">
        <v>720</v>
      </c>
      <c r="D150" s="50">
        <f t="shared" si="4"/>
        <v>48960</v>
      </c>
      <c r="E150" s="10"/>
      <c r="F150" s="10"/>
      <c r="G150" s="10"/>
    </row>
    <row r="151" spans="1:7" ht="18.75" x14ac:dyDescent="0.3">
      <c r="A151" s="2" t="s">
        <v>338</v>
      </c>
      <c r="B151" s="12">
        <v>43</v>
      </c>
      <c r="C151" s="3">
        <v>720</v>
      </c>
      <c r="D151" s="50">
        <f t="shared" si="4"/>
        <v>30960</v>
      </c>
      <c r="E151" s="10"/>
      <c r="F151" s="10"/>
      <c r="G151" s="14">
        <f>E146-D162-D163-D164-D165-D166-D167-D168-D169-D170-D171</f>
        <v>0</v>
      </c>
    </row>
    <row r="152" spans="1:7" ht="18.75" x14ac:dyDescent="0.3">
      <c r="A152" s="2" t="s">
        <v>339</v>
      </c>
      <c r="B152" s="12">
        <v>65</v>
      </c>
      <c r="C152" s="3">
        <v>720</v>
      </c>
      <c r="D152" s="50">
        <f t="shared" si="4"/>
        <v>46800</v>
      </c>
      <c r="E152" s="10"/>
      <c r="F152" s="10"/>
      <c r="G152" s="10"/>
    </row>
    <row r="153" spans="1:7" ht="18.75" x14ac:dyDescent="0.3">
      <c r="A153" s="2" t="s">
        <v>41</v>
      </c>
      <c r="B153" s="12">
        <v>100</v>
      </c>
      <c r="C153" s="3">
        <v>720</v>
      </c>
      <c r="D153" s="50">
        <f t="shared" si="4"/>
        <v>72000</v>
      </c>
      <c r="E153" s="10"/>
      <c r="F153" s="10"/>
      <c r="G153" s="10"/>
    </row>
    <row r="154" spans="1:7" ht="18.75" x14ac:dyDescent="0.3">
      <c r="A154" s="2"/>
      <c r="B154" s="15"/>
      <c r="C154" s="3"/>
      <c r="D154" s="50">
        <f t="shared" si="4"/>
        <v>0</v>
      </c>
      <c r="E154" s="10"/>
      <c r="F154" s="10"/>
      <c r="G154" s="10"/>
    </row>
    <row r="155" spans="1:7" ht="18.75" x14ac:dyDescent="0.3">
      <c r="A155" s="2"/>
      <c r="B155" s="12"/>
      <c r="C155" s="3"/>
      <c r="D155" s="50">
        <f t="shared" si="4"/>
        <v>0</v>
      </c>
      <c r="E155" s="10"/>
      <c r="F155" s="10"/>
      <c r="G155" s="10"/>
    </row>
    <row r="156" spans="1:7" ht="18.75" x14ac:dyDescent="0.3">
      <c r="A156" s="2"/>
      <c r="B156" s="15"/>
      <c r="C156" s="3"/>
      <c r="D156" s="50">
        <f t="shared" si="4"/>
        <v>0</v>
      </c>
      <c r="E156" s="10"/>
      <c r="F156" s="16"/>
      <c r="G156" s="10"/>
    </row>
    <row r="157" spans="1:7" ht="18.75" x14ac:dyDescent="0.3">
      <c r="A157" s="2"/>
      <c r="B157" s="15"/>
      <c r="C157" s="3"/>
      <c r="D157" s="50"/>
      <c r="E157" s="10"/>
      <c r="F157" s="17"/>
      <c r="G157" s="10"/>
    </row>
    <row r="158" spans="1:7" ht="18.75" x14ac:dyDescent="0.3">
      <c r="A158" s="2"/>
      <c r="B158" s="12"/>
      <c r="C158" s="3"/>
      <c r="D158" s="13"/>
      <c r="E158" s="10"/>
      <c r="F158" s="10"/>
      <c r="G158" s="10"/>
    </row>
    <row r="159" spans="1:7" ht="18.75" x14ac:dyDescent="0.3">
      <c r="A159" s="2"/>
      <c r="B159" s="12"/>
      <c r="C159" s="3"/>
      <c r="D159" s="13"/>
      <c r="E159" s="10"/>
      <c r="F159" s="10"/>
      <c r="G159" s="10"/>
    </row>
    <row r="160" spans="1:7" ht="18.75" x14ac:dyDescent="0.3">
      <c r="A160" s="18"/>
      <c r="B160" s="19"/>
      <c r="C160" s="20"/>
      <c r="D160" s="13"/>
      <c r="E160" s="10"/>
      <c r="F160" s="10"/>
      <c r="G160" s="10"/>
    </row>
    <row r="161" spans="1:7" ht="18.75" x14ac:dyDescent="0.3">
      <c r="A161" s="1" t="s">
        <v>10</v>
      </c>
      <c r="B161" s="1" t="s">
        <v>11</v>
      </c>
      <c r="C161" s="1" t="s">
        <v>12</v>
      </c>
      <c r="D161" s="1" t="s">
        <v>13</v>
      </c>
      <c r="E161" s="1" t="s">
        <v>14</v>
      </c>
      <c r="F161" s="10"/>
      <c r="G161" s="10"/>
    </row>
    <row r="162" spans="1:7" ht="18.75" x14ac:dyDescent="0.3">
      <c r="A162" s="3" t="s">
        <v>205</v>
      </c>
      <c r="B162" s="4" t="s">
        <v>399</v>
      </c>
      <c r="C162" s="3">
        <v>720</v>
      </c>
      <c r="D162" s="49">
        <v>57600</v>
      </c>
      <c r="E162" s="3"/>
      <c r="F162" s="10"/>
      <c r="G162" s="10"/>
    </row>
    <row r="163" spans="1:7" ht="18.75" x14ac:dyDescent="0.3">
      <c r="A163" s="3" t="s">
        <v>17</v>
      </c>
      <c r="B163" s="4" t="s">
        <v>400</v>
      </c>
      <c r="C163" s="3">
        <v>720</v>
      </c>
      <c r="D163" s="49">
        <v>48960</v>
      </c>
      <c r="E163" s="5"/>
      <c r="F163" s="10"/>
      <c r="G163" s="10"/>
    </row>
    <row r="164" spans="1:7" ht="18.75" x14ac:dyDescent="0.3">
      <c r="A164" s="3" t="s">
        <v>404</v>
      </c>
      <c r="B164" s="4" t="s">
        <v>406</v>
      </c>
      <c r="C164" s="3">
        <v>720</v>
      </c>
      <c r="D164" s="49">
        <v>72000</v>
      </c>
      <c r="E164" s="5"/>
      <c r="F164" s="10"/>
      <c r="G164" s="10"/>
    </row>
    <row r="165" spans="1:7" ht="18.75" x14ac:dyDescent="0.3">
      <c r="A165" s="3" t="s">
        <v>332</v>
      </c>
      <c r="B165" s="4" t="s">
        <v>415</v>
      </c>
      <c r="C165" s="5">
        <v>720</v>
      </c>
      <c r="D165" s="49">
        <v>46800</v>
      </c>
      <c r="E165" s="3"/>
      <c r="F165" s="10"/>
      <c r="G165" s="10"/>
    </row>
    <row r="166" spans="1:7" ht="18.75" x14ac:dyDescent="0.3">
      <c r="A166" s="6" t="s">
        <v>42</v>
      </c>
      <c r="B166" s="4" t="s">
        <v>416</v>
      </c>
      <c r="C166" s="3">
        <v>720</v>
      </c>
      <c r="D166" s="49">
        <v>43200</v>
      </c>
      <c r="E166" s="5"/>
      <c r="F166" s="10"/>
      <c r="G166" s="10"/>
    </row>
    <row r="167" spans="1:7" ht="18.75" x14ac:dyDescent="0.3">
      <c r="A167" s="3" t="s">
        <v>15</v>
      </c>
      <c r="B167" s="4" t="s">
        <v>422</v>
      </c>
      <c r="C167" s="3">
        <v>720</v>
      </c>
      <c r="D167" s="49">
        <v>30960</v>
      </c>
      <c r="E167" s="5"/>
      <c r="F167" s="10"/>
      <c r="G167" s="10"/>
    </row>
    <row r="168" spans="1:7" ht="18.75" x14ac:dyDescent="0.3">
      <c r="A168" s="3" t="s">
        <v>205</v>
      </c>
      <c r="B168" s="4" t="s">
        <v>428</v>
      </c>
      <c r="C168" s="3">
        <v>720</v>
      </c>
      <c r="D168" s="49">
        <v>46080</v>
      </c>
      <c r="E168" s="5"/>
      <c r="F168" s="10"/>
      <c r="G168" s="10"/>
    </row>
    <row r="169" spans="1:7" ht="18.75" x14ac:dyDescent="0.3">
      <c r="A169" s="3"/>
      <c r="B169" s="4"/>
      <c r="C169" s="3"/>
      <c r="D169" s="49"/>
      <c r="E169" s="3"/>
      <c r="F169" s="10"/>
      <c r="G169" s="10"/>
    </row>
    <row r="170" spans="1:7" ht="18.75" x14ac:dyDescent="0.3">
      <c r="A170" s="3"/>
      <c r="B170" s="4"/>
      <c r="C170" s="3"/>
      <c r="D170" s="49"/>
      <c r="E170" s="3"/>
      <c r="F170" s="10"/>
    </row>
    <row r="171" spans="1:7" ht="18.75" x14ac:dyDescent="0.3">
      <c r="A171" s="3"/>
      <c r="B171" s="4"/>
      <c r="C171" s="3"/>
      <c r="D171" s="49"/>
      <c r="E171" s="3"/>
      <c r="F171" s="10"/>
    </row>
    <row r="172" spans="1:7" ht="18.75" x14ac:dyDescent="0.3">
      <c r="A172" s="3"/>
      <c r="B172" s="4"/>
      <c r="C172" s="3"/>
      <c r="D172" s="49"/>
      <c r="E172" s="3"/>
      <c r="F172" s="10"/>
    </row>
    <row r="173" spans="1:7" ht="18.75" x14ac:dyDescent="0.3">
      <c r="A173" s="3"/>
      <c r="B173" s="4"/>
      <c r="C173" s="3"/>
      <c r="D173" s="49"/>
      <c r="E173" s="3"/>
      <c r="F173" s="10"/>
    </row>
    <row r="177" spans="1:7" ht="18.75" x14ac:dyDescent="0.3">
      <c r="A177" s="35" t="s">
        <v>0</v>
      </c>
      <c r="B177" s="35" t="s">
        <v>1</v>
      </c>
      <c r="C177" s="35" t="s">
        <v>2</v>
      </c>
      <c r="D177" s="35" t="s">
        <v>3</v>
      </c>
      <c r="E177" s="35" t="s">
        <v>4</v>
      </c>
      <c r="F177" s="35" t="s">
        <v>5</v>
      </c>
      <c r="G177" s="35" t="s">
        <v>6</v>
      </c>
    </row>
    <row r="178" spans="1:7" ht="18.75" x14ac:dyDescent="0.3">
      <c r="A178" s="22">
        <v>6</v>
      </c>
      <c r="B178" s="22" t="s">
        <v>97</v>
      </c>
      <c r="C178" s="23" t="s">
        <v>407</v>
      </c>
      <c r="D178" s="24">
        <v>1321</v>
      </c>
      <c r="E178" s="22">
        <v>800</v>
      </c>
      <c r="F178" s="25"/>
      <c r="G178" s="26">
        <f>D178*E178</f>
        <v>1056800</v>
      </c>
    </row>
    <row r="179" spans="1:7" ht="18.75" x14ac:dyDescent="0.3">
      <c r="A179" s="1" t="s">
        <v>7</v>
      </c>
      <c r="B179" s="7">
        <v>4.8</v>
      </c>
      <c r="C179" s="8" t="s">
        <v>3</v>
      </c>
      <c r="D179" s="8" t="s">
        <v>8</v>
      </c>
      <c r="E179" s="46">
        <v>634080</v>
      </c>
      <c r="F179" s="10"/>
      <c r="G179" s="11">
        <v>425720</v>
      </c>
    </row>
    <row r="180" spans="1:7" ht="18.75" x14ac:dyDescent="0.3">
      <c r="A180" s="2" t="s">
        <v>9</v>
      </c>
      <c r="B180" s="12">
        <v>58</v>
      </c>
      <c r="C180" s="5">
        <v>750</v>
      </c>
      <c r="D180" s="50">
        <f>B180*C180</f>
        <v>43500</v>
      </c>
      <c r="E180" s="21">
        <v>0.6</v>
      </c>
      <c r="F180" s="10"/>
      <c r="G180" s="21">
        <v>0.4</v>
      </c>
    </row>
    <row r="181" spans="1:7" ht="18.75" x14ac:dyDescent="0.3">
      <c r="A181" s="2" t="s">
        <v>417</v>
      </c>
      <c r="B181" s="12">
        <v>65</v>
      </c>
      <c r="C181" s="3">
        <v>750</v>
      </c>
      <c r="D181" s="50">
        <f t="shared" ref="D181:D189" si="5">B181*C181</f>
        <v>48750</v>
      </c>
      <c r="E181" s="10"/>
      <c r="F181" s="10"/>
      <c r="G181" s="10"/>
    </row>
    <row r="182" spans="1:7" ht="18.75" x14ac:dyDescent="0.3">
      <c r="A182" s="2" t="s">
        <v>418</v>
      </c>
      <c r="B182" s="12">
        <v>60</v>
      </c>
      <c r="C182" s="3">
        <v>352</v>
      </c>
      <c r="D182" s="50">
        <f t="shared" si="5"/>
        <v>21120</v>
      </c>
      <c r="E182" s="10"/>
      <c r="F182" s="10"/>
      <c r="G182" s="10"/>
    </row>
    <row r="183" spans="1:7" ht="18.75" x14ac:dyDescent="0.3">
      <c r="A183" s="2" t="s">
        <v>419</v>
      </c>
      <c r="B183" s="12">
        <v>68</v>
      </c>
      <c r="C183" s="5">
        <v>352</v>
      </c>
      <c r="D183" s="50">
        <f t="shared" si="5"/>
        <v>23936</v>
      </c>
      <c r="E183" s="10"/>
      <c r="F183" s="10"/>
      <c r="G183" s="10"/>
    </row>
    <row r="184" spans="1:7" ht="18.75" x14ac:dyDescent="0.3">
      <c r="A184" s="2" t="s">
        <v>61</v>
      </c>
      <c r="B184" s="12">
        <v>66</v>
      </c>
      <c r="C184" s="3">
        <v>1321</v>
      </c>
      <c r="D184" s="50">
        <f t="shared" si="5"/>
        <v>87186</v>
      </c>
      <c r="E184" s="10"/>
      <c r="F184" s="10"/>
      <c r="G184" s="14">
        <f>E179-D195-D196-D197-D198-D199-D200-D201-D202-D203-D204-D205-D206-D207-D208</f>
        <v>0</v>
      </c>
    </row>
    <row r="185" spans="1:7" ht="18.75" x14ac:dyDescent="0.3">
      <c r="A185" s="2" t="s">
        <v>62</v>
      </c>
      <c r="B185" s="12">
        <v>100</v>
      </c>
      <c r="C185" s="3">
        <v>750</v>
      </c>
      <c r="D185" s="50">
        <f t="shared" si="5"/>
        <v>75000</v>
      </c>
      <c r="E185" s="10"/>
      <c r="F185" s="10"/>
    </row>
    <row r="186" spans="1:7" ht="18.75" x14ac:dyDescent="0.3">
      <c r="A186" s="2" t="s">
        <v>41</v>
      </c>
      <c r="B186" s="12">
        <v>63</v>
      </c>
      <c r="C186" s="3">
        <v>1321</v>
      </c>
      <c r="D186" s="50">
        <f t="shared" si="5"/>
        <v>83223</v>
      </c>
      <c r="E186" s="10"/>
      <c r="F186" s="10"/>
    </row>
    <row r="187" spans="1:7" ht="18.75" x14ac:dyDescent="0.3">
      <c r="A187" s="2"/>
      <c r="B187" s="15"/>
      <c r="C187" s="3"/>
      <c r="D187" s="50">
        <f t="shared" si="5"/>
        <v>0</v>
      </c>
      <c r="E187" s="10"/>
      <c r="F187" s="10"/>
    </row>
    <row r="188" spans="1:7" ht="18.75" x14ac:dyDescent="0.3">
      <c r="A188" s="2"/>
      <c r="B188" s="12"/>
      <c r="C188" s="3"/>
      <c r="D188" s="50">
        <f t="shared" si="5"/>
        <v>0</v>
      </c>
      <c r="E188" s="10"/>
      <c r="F188" s="10"/>
    </row>
    <row r="189" spans="1:7" ht="18.75" x14ac:dyDescent="0.3">
      <c r="A189" s="2"/>
      <c r="B189" s="15"/>
      <c r="C189" s="3"/>
      <c r="D189" s="50">
        <f t="shared" si="5"/>
        <v>0</v>
      </c>
      <c r="E189" s="10"/>
      <c r="F189" s="16"/>
    </row>
    <row r="190" spans="1:7" ht="18.75" x14ac:dyDescent="0.3">
      <c r="A190" s="2"/>
      <c r="B190" s="15"/>
      <c r="C190" s="3"/>
      <c r="D190" s="50"/>
      <c r="E190" s="10"/>
      <c r="F190" s="17"/>
    </row>
    <row r="191" spans="1:7" ht="18.75" x14ac:dyDescent="0.3">
      <c r="A191" s="2"/>
      <c r="B191" s="12"/>
      <c r="C191" s="3"/>
      <c r="D191" s="13"/>
      <c r="E191" s="10"/>
      <c r="F191" s="10"/>
    </row>
    <row r="192" spans="1:7" ht="18.75" x14ac:dyDescent="0.3">
      <c r="A192" s="2"/>
      <c r="B192" s="12"/>
      <c r="C192" s="3"/>
      <c r="D192" s="13"/>
      <c r="E192" s="10"/>
      <c r="F192" s="10"/>
    </row>
    <row r="193" spans="1:7" ht="18.75" x14ac:dyDescent="0.3">
      <c r="A193" s="18"/>
      <c r="B193" s="19"/>
      <c r="C193" s="20"/>
      <c r="D193" s="13"/>
      <c r="E193" s="10"/>
      <c r="F193" s="10"/>
    </row>
    <row r="194" spans="1:7" ht="18.75" x14ac:dyDescent="0.3">
      <c r="A194" s="1" t="s">
        <v>10</v>
      </c>
      <c r="B194" s="1" t="s">
        <v>11</v>
      </c>
      <c r="C194" s="1" t="s">
        <v>12</v>
      </c>
      <c r="D194" s="1" t="s">
        <v>13</v>
      </c>
      <c r="E194" s="1" t="s">
        <v>14</v>
      </c>
      <c r="F194" s="10"/>
    </row>
    <row r="195" spans="1:7" ht="18.75" x14ac:dyDescent="0.3">
      <c r="A195" s="3" t="s">
        <v>15</v>
      </c>
      <c r="B195" s="4" t="s">
        <v>420</v>
      </c>
      <c r="C195" s="3">
        <v>720</v>
      </c>
      <c r="D195" s="49">
        <v>46800</v>
      </c>
      <c r="E195" s="3"/>
      <c r="F195" s="10"/>
    </row>
    <row r="196" spans="1:7" ht="18.75" x14ac:dyDescent="0.3">
      <c r="A196" s="3" t="s">
        <v>15</v>
      </c>
      <c r="B196" s="4" t="s">
        <v>421</v>
      </c>
      <c r="C196" s="3">
        <v>720</v>
      </c>
      <c r="D196" s="49">
        <v>41760</v>
      </c>
      <c r="E196" s="5"/>
      <c r="F196" s="10"/>
    </row>
    <row r="197" spans="1:7" ht="18.75" x14ac:dyDescent="0.3">
      <c r="A197" s="3" t="s">
        <v>17</v>
      </c>
      <c r="B197" s="4" t="s">
        <v>423</v>
      </c>
      <c r="C197" s="3">
        <v>1321</v>
      </c>
      <c r="D197" s="49">
        <v>87186</v>
      </c>
      <c r="E197" s="5"/>
      <c r="F197" s="10"/>
    </row>
    <row r="198" spans="1:7" ht="18.75" x14ac:dyDescent="0.3">
      <c r="A198" s="3" t="s">
        <v>113</v>
      </c>
      <c r="B198" s="4" t="s">
        <v>421</v>
      </c>
      <c r="C198" s="5">
        <v>608</v>
      </c>
      <c r="D198" s="49">
        <v>35264</v>
      </c>
      <c r="E198" s="3"/>
      <c r="F198" s="10"/>
    </row>
    <row r="199" spans="1:7" ht="18.75" x14ac:dyDescent="0.3">
      <c r="A199" s="6" t="s">
        <v>113</v>
      </c>
      <c r="B199" s="4" t="s">
        <v>420</v>
      </c>
      <c r="C199" s="3">
        <v>608</v>
      </c>
      <c r="D199" s="49">
        <v>39520</v>
      </c>
      <c r="E199" s="5"/>
      <c r="F199" s="10"/>
    </row>
    <row r="200" spans="1:7" ht="18.75" x14ac:dyDescent="0.3">
      <c r="A200" s="3" t="s">
        <v>29</v>
      </c>
      <c r="B200" s="4" t="s">
        <v>425</v>
      </c>
      <c r="C200" s="3">
        <v>352</v>
      </c>
      <c r="D200" s="49">
        <v>23936</v>
      </c>
      <c r="E200" s="5"/>
      <c r="F200" s="10"/>
    </row>
    <row r="201" spans="1:7" ht="18.75" x14ac:dyDescent="0.3">
      <c r="A201" s="3" t="s">
        <v>59</v>
      </c>
      <c r="B201" s="4" t="s">
        <v>426</v>
      </c>
      <c r="C201" s="3">
        <v>720</v>
      </c>
      <c r="D201" s="49">
        <v>43200</v>
      </c>
      <c r="E201" s="5"/>
      <c r="F201" s="10"/>
    </row>
    <row r="202" spans="1:7" ht="18.75" x14ac:dyDescent="0.3">
      <c r="A202" s="3" t="s">
        <v>104</v>
      </c>
      <c r="B202" s="4" t="s">
        <v>429</v>
      </c>
      <c r="C202" s="3">
        <v>743</v>
      </c>
      <c r="D202" s="49">
        <v>74300</v>
      </c>
      <c r="E202" s="3"/>
      <c r="F202" s="10"/>
    </row>
    <row r="203" spans="1:7" ht="18.75" x14ac:dyDescent="0.3">
      <c r="A203" s="3" t="s">
        <v>15</v>
      </c>
      <c r="B203" s="4" t="s">
        <v>430</v>
      </c>
      <c r="C203" s="3">
        <v>578</v>
      </c>
      <c r="D203" s="49">
        <v>57800</v>
      </c>
      <c r="E203" s="3"/>
      <c r="F203" s="10"/>
    </row>
    <row r="204" spans="1:7" ht="18.75" x14ac:dyDescent="0.3">
      <c r="A204" s="3" t="s">
        <v>59</v>
      </c>
      <c r="B204" s="4" t="s">
        <v>431</v>
      </c>
      <c r="C204" s="3">
        <v>290</v>
      </c>
      <c r="D204" s="49">
        <v>19720</v>
      </c>
      <c r="E204" s="3"/>
      <c r="F204" s="10"/>
    </row>
    <row r="205" spans="1:7" ht="18.75" x14ac:dyDescent="0.3">
      <c r="A205" s="3" t="s">
        <v>59</v>
      </c>
      <c r="B205" s="4" t="s">
        <v>432</v>
      </c>
      <c r="C205" s="3">
        <v>30</v>
      </c>
      <c r="D205" s="49">
        <v>3840</v>
      </c>
      <c r="E205" s="3"/>
      <c r="F205" s="10"/>
      <c r="G205" s="10"/>
    </row>
    <row r="206" spans="1:7" ht="18.75" x14ac:dyDescent="0.3">
      <c r="A206" s="3" t="s">
        <v>185</v>
      </c>
      <c r="B206" s="4" t="s">
        <v>41</v>
      </c>
      <c r="C206" s="3">
        <v>1321</v>
      </c>
      <c r="D206" s="49">
        <v>82930</v>
      </c>
      <c r="E206" s="3"/>
      <c r="F206" s="10"/>
    </row>
    <row r="207" spans="1:7" ht="18.75" x14ac:dyDescent="0.3">
      <c r="A207" s="3" t="s">
        <v>17</v>
      </c>
      <c r="B207" s="4" t="s">
        <v>433</v>
      </c>
      <c r="C207" s="3">
        <v>510</v>
      </c>
      <c r="D207" s="49">
        <v>65280</v>
      </c>
      <c r="E207" s="37"/>
    </row>
    <row r="208" spans="1:7" ht="18.75" x14ac:dyDescent="0.3">
      <c r="A208" s="3" t="s">
        <v>332</v>
      </c>
      <c r="B208" s="4" t="s">
        <v>434</v>
      </c>
      <c r="C208" s="3">
        <v>98</v>
      </c>
      <c r="D208" s="49">
        <v>12544</v>
      </c>
      <c r="E208" s="37"/>
    </row>
    <row r="210" spans="1:7" x14ac:dyDescent="0.25">
      <c r="A210" s="134" t="s">
        <v>786</v>
      </c>
      <c r="B210" s="134"/>
      <c r="C210" s="134"/>
    </row>
    <row r="211" spans="1:7" x14ac:dyDescent="0.25">
      <c r="A211" s="134"/>
      <c r="B211" s="134"/>
      <c r="C211" s="134"/>
    </row>
    <row r="212" spans="1:7" ht="18.75" x14ac:dyDescent="0.3">
      <c r="A212" s="35" t="s">
        <v>0</v>
      </c>
      <c r="B212" s="35" t="s">
        <v>1</v>
      </c>
      <c r="C212" s="35" t="s">
        <v>2</v>
      </c>
      <c r="D212" s="35" t="s">
        <v>3</v>
      </c>
      <c r="E212" s="35" t="s">
        <v>4</v>
      </c>
      <c r="F212" s="35" t="s">
        <v>5</v>
      </c>
      <c r="G212" s="35" t="s">
        <v>6</v>
      </c>
    </row>
    <row r="213" spans="1:7" ht="18.75" x14ac:dyDescent="0.3">
      <c r="A213" s="22">
        <v>45</v>
      </c>
      <c r="B213" s="22" t="s">
        <v>787</v>
      </c>
      <c r="C213" s="23" t="s">
        <v>788</v>
      </c>
      <c r="D213" s="24">
        <v>855</v>
      </c>
      <c r="E213" s="22">
        <v>900</v>
      </c>
      <c r="F213" s="25"/>
      <c r="G213" s="26">
        <v>769500</v>
      </c>
    </row>
    <row r="214" spans="1:7" ht="18.75" x14ac:dyDescent="0.3">
      <c r="A214" s="1" t="s">
        <v>7</v>
      </c>
      <c r="B214" s="7">
        <v>5.4</v>
      </c>
      <c r="C214" s="8" t="s">
        <v>3</v>
      </c>
      <c r="D214" s="8" t="s">
        <v>8</v>
      </c>
      <c r="E214" s="46">
        <v>461700</v>
      </c>
      <c r="F214" s="10"/>
      <c r="G214" s="11">
        <v>307800</v>
      </c>
    </row>
    <row r="215" spans="1:7" ht="18.75" x14ac:dyDescent="0.3">
      <c r="A215" s="2" t="s">
        <v>792</v>
      </c>
      <c r="B215" s="12">
        <v>80</v>
      </c>
      <c r="C215" s="5">
        <v>855</v>
      </c>
      <c r="D215" s="50">
        <f t="shared" ref="D215:D223" si="6">B215*C215</f>
        <v>68400</v>
      </c>
      <c r="E215" s="21">
        <v>0.6</v>
      </c>
      <c r="F215" s="10"/>
      <c r="G215" s="21">
        <v>0.4</v>
      </c>
    </row>
    <row r="216" spans="1:7" ht="18.75" x14ac:dyDescent="0.3">
      <c r="A216" s="2" t="s">
        <v>793</v>
      </c>
      <c r="B216" s="12">
        <v>64</v>
      </c>
      <c r="C216" s="3">
        <v>855</v>
      </c>
      <c r="D216" s="50">
        <f t="shared" si="6"/>
        <v>54720</v>
      </c>
      <c r="E216" s="10"/>
      <c r="F216" s="10"/>
      <c r="G216" s="10"/>
    </row>
    <row r="217" spans="1:7" ht="18.75" x14ac:dyDescent="0.3">
      <c r="A217" s="2" t="s">
        <v>24</v>
      </c>
      <c r="B217" s="12">
        <v>68</v>
      </c>
      <c r="C217" s="3">
        <v>855</v>
      </c>
      <c r="D217" s="50">
        <f t="shared" si="6"/>
        <v>58140</v>
      </c>
      <c r="E217" s="10"/>
      <c r="F217" s="10"/>
      <c r="G217" s="10"/>
    </row>
    <row r="218" spans="1:7" ht="18.75" x14ac:dyDescent="0.3">
      <c r="A218" s="2"/>
      <c r="B218" s="12"/>
      <c r="C218" s="5"/>
      <c r="D218" s="50">
        <f t="shared" si="6"/>
        <v>0</v>
      </c>
      <c r="E218" s="10"/>
      <c r="F218" s="10"/>
      <c r="G218" s="10"/>
    </row>
    <row r="219" spans="1:7" ht="18.75" x14ac:dyDescent="0.3">
      <c r="A219" s="2" t="s">
        <v>818</v>
      </c>
      <c r="B219" s="12">
        <v>60</v>
      </c>
      <c r="C219" s="3">
        <v>855</v>
      </c>
      <c r="D219" s="50">
        <f t="shared" si="6"/>
        <v>51300</v>
      </c>
      <c r="E219" s="10"/>
      <c r="F219" s="10"/>
      <c r="G219" s="14">
        <f>E214-D230-D231-D232-D233-D234-D235-D236-D237-D238-D239-D240-D241-D242-D243</f>
        <v>0</v>
      </c>
    </row>
    <row r="220" spans="1:7" ht="18.75" x14ac:dyDescent="0.3">
      <c r="A220" s="104" t="s">
        <v>841</v>
      </c>
      <c r="B220" s="12">
        <v>43</v>
      </c>
      <c r="C220" s="3">
        <v>855</v>
      </c>
      <c r="D220" s="50">
        <f t="shared" si="6"/>
        <v>36765</v>
      </c>
      <c r="E220" s="10"/>
      <c r="F220" s="10"/>
    </row>
    <row r="221" spans="1:7" ht="18.75" x14ac:dyDescent="0.3">
      <c r="A221" s="2" t="s">
        <v>838</v>
      </c>
      <c r="B221" s="12">
        <v>65</v>
      </c>
      <c r="C221" s="3">
        <v>855</v>
      </c>
      <c r="D221" s="50">
        <f t="shared" si="6"/>
        <v>55575</v>
      </c>
      <c r="E221" s="10"/>
      <c r="F221" s="10"/>
    </row>
    <row r="222" spans="1:7" ht="18.75" x14ac:dyDescent="0.3">
      <c r="A222" s="2" t="s">
        <v>26</v>
      </c>
      <c r="B222" s="15">
        <v>160</v>
      </c>
      <c r="C222" s="3">
        <v>855</v>
      </c>
      <c r="D222" s="50">
        <f t="shared" si="6"/>
        <v>136800</v>
      </c>
      <c r="E222" s="10"/>
      <c r="F222" s="10"/>
    </row>
    <row r="223" spans="1:7" ht="18.75" x14ac:dyDescent="0.3">
      <c r="A223" s="2"/>
      <c r="B223" s="12"/>
      <c r="C223" s="3"/>
      <c r="D223" s="50">
        <f t="shared" si="6"/>
        <v>0</v>
      </c>
      <c r="E223" s="10"/>
      <c r="F223" s="10"/>
    </row>
    <row r="224" spans="1:7" ht="18.75" x14ac:dyDescent="0.3">
      <c r="A224" s="2"/>
      <c r="B224" s="15"/>
      <c r="C224" s="3"/>
      <c r="D224" s="50">
        <f t="shared" ref="D224" si="7">B224*C224</f>
        <v>0</v>
      </c>
      <c r="E224" s="10"/>
      <c r="F224" s="16"/>
    </row>
    <row r="225" spans="1:7" ht="18.75" x14ac:dyDescent="0.3">
      <c r="A225" s="2"/>
      <c r="B225" s="15"/>
      <c r="C225" s="3"/>
      <c r="D225" s="50"/>
      <c r="E225" s="10"/>
      <c r="F225" s="17"/>
    </row>
    <row r="226" spans="1:7" ht="18.75" x14ac:dyDescent="0.3">
      <c r="A226" s="2"/>
      <c r="B226" s="12"/>
      <c r="C226" s="3"/>
      <c r="D226" s="13"/>
      <c r="E226" s="10"/>
      <c r="F226" s="10"/>
    </row>
    <row r="227" spans="1:7" ht="18.75" x14ac:dyDescent="0.3">
      <c r="A227" s="2"/>
      <c r="B227" s="12"/>
      <c r="C227" s="3"/>
      <c r="D227" s="13"/>
      <c r="E227" s="10"/>
      <c r="F227" s="10"/>
    </row>
    <row r="228" spans="1:7" ht="18.75" x14ac:dyDescent="0.3">
      <c r="A228" s="18"/>
      <c r="B228" s="19"/>
      <c r="C228" s="20"/>
      <c r="D228" s="13"/>
      <c r="E228" s="10"/>
      <c r="F228" s="10"/>
    </row>
    <row r="229" spans="1:7" ht="18.75" x14ac:dyDescent="0.3">
      <c r="A229" s="1" t="s">
        <v>10</v>
      </c>
      <c r="B229" s="1" t="s">
        <v>11</v>
      </c>
      <c r="C229" s="1" t="s">
        <v>12</v>
      </c>
      <c r="D229" s="1" t="s">
        <v>13</v>
      </c>
      <c r="E229" s="1" t="s">
        <v>14</v>
      </c>
      <c r="F229" s="10"/>
    </row>
    <row r="230" spans="1:7" ht="18.75" x14ac:dyDescent="0.3">
      <c r="A230" s="3" t="s">
        <v>783</v>
      </c>
      <c r="B230" s="4" t="s">
        <v>789</v>
      </c>
      <c r="C230" s="3">
        <v>855</v>
      </c>
      <c r="D230" s="49">
        <v>51300</v>
      </c>
      <c r="E230" s="3"/>
      <c r="F230" s="10"/>
    </row>
    <row r="231" spans="1:7" ht="18.75" x14ac:dyDescent="0.3">
      <c r="A231" s="3" t="s">
        <v>29</v>
      </c>
      <c r="B231" s="4" t="s">
        <v>843</v>
      </c>
      <c r="C231" s="3">
        <v>855</v>
      </c>
      <c r="D231" s="49">
        <v>55575</v>
      </c>
      <c r="E231" s="5"/>
      <c r="F231" s="10"/>
    </row>
    <row r="232" spans="1:7" ht="18.75" x14ac:dyDescent="0.3">
      <c r="A232" s="3" t="s">
        <v>508</v>
      </c>
      <c r="B232" s="4" t="s">
        <v>848</v>
      </c>
      <c r="C232" s="3">
        <v>855</v>
      </c>
      <c r="D232" s="49">
        <v>54720</v>
      </c>
      <c r="E232" s="5"/>
      <c r="F232" s="10"/>
    </row>
    <row r="233" spans="1:7" ht="18.75" x14ac:dyDescent="0.3">
      <c r="A233" s="3" t="s">
        <v>771</v>
      </c>
      <c r="B233" s="4" t="s">
        <v>24</v>
      </c>
      <c r="C233" s="5">
        <v>855</v>
      </c>
      <c r="D233" s="49">
        <v>58140</v>
      </c>
      <c r="E233" s="3"/>
      <c r="F233" s="10"/>
    </row>
    <row r="234" spans="1:7" ht="18.75" x14ac:dyDescent="0.3">
      <c r="A234" s="6" t="s">
        <v>842</v>
      </c>
      <c r="B234" s="4" t="s">
        <v>26</v>
      </c>
      <c r="C234" s="3">
        <v>855</v>
      </c>
      <c r="D234" s="49">
        <v>136800</v>
      </c>
      <c r="E234" s="5"/>
      <c r="F234" s="10"/>
    </row>
    <row r="235" spans="1:7" ht="18.75" x14ac:dyDescent="0.3">
      <c r="A235" s="3" t="s">
        <v>29</v>
      </c>
      <c r="B235" s="4" t="s">
        <v>792</v>
      </c>
      <c r="C235" s="3">
        <v>855</v>
      </c>
      <c r="D235" s="49">
        <v>68400</v>
      </c>
      <c r="E235" s="5"/>
      <c r="F235" s="10"/>
    </row>
    <row r="236" spans="1:7" ht="18.75" x14ac:dyDescent="0.3">
      <c r="A236" s="3" t="s">
        <v>201</v>
      </c>
      <c r="B236" s="4" t="s">
        <v>790</v>
      </c>
      <c r="C236" s="3">
        <v>855</v>
      </c>
      <c r="D236" s="49">
        <v>36765</v>
      </c>
      <c r="E236" s="5"/>
      <c r="F236" s="10"/>
    </row>
    <row r="237" spans="1:7" ht="18.75" x14ac:dyDescent="0.3">
      <c r="A237" s="3"/>
      <c r="B237" s="4"/>
      <c r="C237" s="3"/>
      <c r="D237" s="49"/>
      <c r="E237" s="3"/>
      <c r="F237" s="10"/>
    </row>
    <row r="238" spans="1:7" ht="18.75" x14ac:dyDescent="0.3">
      <c r="A238" s="3"/>
      <c r="B238" s="4"/>
      <c r="C238" s="3"/>
      <c r="D238" s="49"/>
      <c r="E238" s="3"/>
      <c r="F238" s="10"/>
    </row>
    <row r="239" spans="1:7" ht="18.75" x14ac:dyDescent="0.3">
      <c r="A239" s="3"/>
      <c r="B239" s="4"/>
      <c r="C239" s="3"/>
      <c r="D239" s="49"/>
      <c r="E239" s="3"/>
      <c r="F239" s="10"/>
    </row>
    <row r="240" spans="1:7" ht="18.75" x14ac:dyDescent="0.3">
      <c r="A240" s="3"/>
      <c r="B240" s="4"/>
      <c r="C240" s="3"/>
      <c r="D240" s="49"/>
      <c r="E240" s="3"/>
      <c r="F240" s="10"/>
      <c r="G240" s="10"/>
    </row>
    <row r="241" spans="1:7" ht="18.75" x14ac:dyDescent="0.3">
      <c r="A241" s="3"/>
      <c r="B241" s="4"/>
      <c r="C241" s="3"/>
      <c r="D241" s="49"/>
      <c r="E241" s="3"/>
      <c r="F241" s="10"/>
    </row>
    <row r="242" spans="1:7" ht="18.75" x14ac:dyDescent="0.3">
      <c r="A242" s="3"/>
      <c r="B242" s="4"/>
      <c r="C242" s="3"/>
      <c r="D242" s="49"/>
      <c r="E242" s="37"/>
    </row>
    <row r="243" spans="1:7" ht="18.75" x14ac:dyDescent="0.3">
      <c r="A243" s="3"/>
      <c r="B243" s="4"/>
      <c r="C243" s="3"/>
      <c r="D243" s="49"/>
      <c r="E243" s="37"/>
    </row>
    <row r="247" spans="1:7" ht="18.75" x14ac:dyDescent="0.3">
      <c r="A247" s="35" t="s">
        <v>0</v>
      </c>
      <c r="B247" s="35" t="s">
        <v>1</v>
      </c>
      <c r="C247" s="35" t="s">
        <v>2</v>
      </c>
      <c r="D247" s="35" t="s">
        <v>3</v>
      </c>
      <c r="E247" s="35" t="s">
        <v>4</v>
      </c>
      <c r="F247" s="35" t="s">
        <v>5</v>
      </c>
      <c r="G247" s="35" t="s">
        <v>6</v>
      </c>
    </row>
    <row r="248" spans="1:7" ht="18.75" x14ac:dyDescent="0.3">
      <c r="A248" s="22">
        <v>29</v>
      </c>
      <c r="B248" s="22" t="s">
        <v>787</v>
      </c>
      <c r="C248" s="23" t="s">
        <v>836</v>
      </c>
      <c r="D248" s="24">
        <v>561</v>
      </c>
      <c r="E248" s="22">
        <v>900</v>
      </c>
      <c r="F248" s="25"/>
      <c r="G248" s="26">
        <f>D248*E248</f>
        <v>504900</v>
      </c>
    </row>
    <row r="249" spans="1:7" ht="18.75" x14ac:dyDescent="0.3">
      <c r="A249" s="1" t="s">
        <v>7</v>
      </c>
      <c r="B249" s="7">
        <v>5.4</v>
      </c>
      <c r="C249" s="48" t="s">
        <v>3</v>
      </c>
      <c r="D249" s="48" t="s">
        <v>8</v>
      </c>
      <c r="E249" s="46">
        <v>302940</v>
      </c>
      <c r="F249" s="10"/>
      <c r="G249" s="11">
        <v>201960</v>
      </c>
    </row>
    <row r="250" spans="1:7" ht="18.75" x14ac:dyDescent="0.3">
      <c r="A250" s="2" t="s">
        <v>792</v>
      </c>
      <c r="B250" s="12">
        <v>80</v>
      </c>
      <c r="C250" s="5">
        <v>561</v>
      </c>
      <c r="D250" s="50">
        <f t="shared" ref="D250:D258" si="8">B250*C250</f>
        <v>44880</v>
      </c>
      <c r="E250" s="21">
        <v>0.6</v>
      </c>
      <c r="F250" s="10"/>
      <c r="G250" s="21">
        <v>0.4</v>
      </c>
    </row>
    <row r="251" spans="1:7" ht="18.75" x14ac:dyDescent="0.3">
      <c r="A251" s="2" t="s">
        <v>793</v>
      </c>
      <c r="B251" s="12">
        <v>64</v>
      </c>
      <c r="C251" s="3">
        <v>561</v>
      </c>
      <c r="D251" s="50">
        <f t="shared" si="8"/>
        <v>35904</v>
      </c>
      <c r="E251" s="10"/>
      <c r="F251" s="10"/>
      <c r="G251" s="10"/>
    </row>
    <row r="252" spans="1:7" ht="18.75" x14ac:dyDescent="0.3">
      <c r="A252" s="2" t="s">
        <v>24</v>
      </c>
      <c r="B252" s="12">
        <v>68</v>
      </c>
      <c r="C252" s="3">
        <v>561</v>
      </c>
      <c r="D252" s="50">
        <f t="shared" si="8"/>
        <v>38148</v>
      </c>
      <c r="E252" s="10"/>
      <c r="F252" s="10"/>
      <c r="G252" s="10"/>
    </row>
    <row r="253" spans="1:7" ht="18.75" x14ac:dyDescent="0.3">
      <c r="A253" s="2" t="s">
        <v>817</v>
      </c>
      <c r="B253" s="12">
        <v>55</v>
      </c>
      <c r="C253" s="5">
        <v>561</v>
      </c>
      <c r="D253" s="50">
        <f t="shared" si="8"/>
        <v>30855</v>
      </c>
      <c r="E253" s="10"/>
      <c r="F253" s="10"/>
      <c r="G253" s="10"/>
    </row>
    <row r="254" spans="1:7" ht="18.75" x14ac:dyDescent="0.3">
      <c r="A254" s="2" t="s">
        <v>818</v>
      </c>
      <c r="B254" s="12">
        <v>60</v>
      </c>
      <c r="C254" s="3">
        <v>561</v>
      </c>
      <c r="D254" s="50">
        <f t="shared" si="8"/>
        <v>33660</v>
      </c>
      <c r="E254" s="10"/>
      <c r="F254" s="10"/>
      <c r="G254" s="14">
        <f>E249-D264-D265-D266-D267-D268-D269-D270-D271-D272-D273-D274-D275-D276-D277-D278-D279-D280-D281-D282-D283-D284-D285-D286-D286</f>
        <v>0</v>
      </c>
    </row>
    <row r="255" spans="1:7" ht="18.75" x14ac:dyDescent="0.3">
      <c r="A255" s="2" t="s">
        <v>841</v>
      </c>
      <c r="B255" s="12">
        <v>43</v>
      </c>
      <c r="C255" s="3">
        <v>561</v>
      </c>
      <c r="D255" s="50">
        <f t="shared" si="8"/>
        <v>24123</v>
      </c>
      <c r="E255" s="10"/>
      <c r="F255" s="10"/>
      <c r="G255" s="10"/>
    </row>
    <row r="256" spans="1:7" ht="18.75" x14ac:dyDescent="0.3">
      <c r="A256" s="2" t="s">
        <v>838</v>
      </c>
      <c r="B256" s="12">
        <v>65</v>
      </c>
      <c r="C256" s="3">
        <v>561</v>
      </c>
      <c r="D256" s="50">
        <f t="shared" si="8"/>
        <v>36465</v>
      </c>
      <c r="E256" s="10"/>
      <c r="F256" s="10"/>
    </row>
    <row r="257" spans="1:6" ht="18.75" x14ac:dyDescent="0.3">
      <c r="A257" s="2" t="s">
        <v>26</v>
      </c>
      <c r="B257" s="15">
        <v>105</v>
      </c>
      <c r="C257" s="3">
        <v>561</v>
      </c>
      <c r="D257" s="50">
        <f t="shared" si="8"/>
        <v>58905</v>
      </c>
      <c r="E257" s="10"/>
      <c r="F257" s="10"/>
    </row>
    <row r="258" spans="1:6" ht="18.75" x14ac:dyDescent="0.3">
      <c r="A258" s="2"/>
      <c r="B258" s="15"/>
      <c r="C258" s="3"/>
      <c r="D258" s="50">
        <f t="shared" si="8"/>
        <v>0</v>
      </c>
      <c r="E258" s="10"/>
      <c r="F258" s="16"/>
    </row>
    <row r="259" spans="1:6" ht="18.75" x14ac:dyDescent="0.3">
      <c r="A259" s="2"/>
      <c r="B259" s="15"/>
      <c r="C259" s="3"/>
      <c r="D259" s="50"/>
      <c r="E259" s="10"/>
      <c r="F259" s="17"/>
    </row>
    <row r="260" spans="1:6" ht="18.75" x14ac:dyDescent="0.3">
      <c r="A260" s="2"/>
      <c r="B260" s="12"/>
      <c r="C260" s="3"/>
      <c r="D260" s="50"/>
      <c r="E260" s="10"/>
      <c r="F260" s="10"/>
    </row>
    <row r="261" spans="1:6" ht="18.75" x14ac:dyDescent="0.3">
      <c r="A261" s="2"/>
      <c r="B261" s="12"/>
      <c r="C261" s="3"/>
      <c r="D261" s="50"/>
      <c r="E261" s="10"/>
      <c r="F261" s="10"/>
    </row>
    <row r="262" spans="1:6" ht="18.75" x14ac:dyDescent="0.3">
      <c r="A262" s="18"/>
      <c r="B262" s="19"/>
      <c r="C262" s="20"/>
      <c r="D262" s="13"/>
      <c r="E262" s="10"/>
      <c r="F262" s="10"/>
    </row>
    <row r="263" spans="1:6" ht="18.75" x14ac:dyDescent="0.3">
      <c r="A263" s="1" t="s">
        <v>10</v>
      </c>
      <c r="B263" s="1" t="s">
        <v>11</v>
      </c>
      <c r="C263" s="1" t="s">
        <v>12</v>
      </c>
      <c r="D263" s="1" t="s">
        <v>13</v>
      </c>
      <c r="E263" s="1" t="s">
        <v>14</v>
      </c>
      <c r="F263" s="10"/>
    </row>
    <row r="264" spans="1:6" ht="18.75" x14ac:dyDescent="0.3">
      <c r="A264" s="3" t="s">
        <v>783</v>
      </c>
      <c r="B264" s="4" t="s">
        <v>488</v>
      </c>
      <c r="C264" s="3">
        <v>561</v>
      </c>
      <c r="D264" s="58">
        <v>33660</v>
      </c>
      <c r="E264" s="3"/>
      <c r="F264" s="10"/>
    </row>
    <row r="265" spans="1:6" ht="18.75" x14ac:dyDescent="0.3">
      <c r="A265" s="3" t="s">
        <v>266</v>
      </c>
      <c r="B265" s="4" t="s">
        <v>839</v>
      </c>
      <c r="C265" s="3">
        <v>561</v>
      </c>
      <c r="D265" s="58">
        <v>44880</v>
      </c>
      <c r="E265" s="5"/>
      <c r="F265" s="10"/>
    </row>
    <row r="266" spans="1:6" ht="18.75" x14ac:dyDescent="0.3">
      <c r="A266" s="3" t="s">
        <v>783</v>
      </c>
      <c r="B266" s="4" t="s">
        <v>793</v>
      </c>
      <c r="C266" s="3">
        <v>561</v>
      </c>
      <c r="D266" s="58">
        <v>35904</v>
      </c>
      <c r="E266" s="5"/>
      <c r="F266" s="10"/>
    </row>
    <row r="267" spans="1:6" ht="18.75" x14ac:dyDescent="0.3">
      <c r="A267" s="3" t="s">
        <v>119</v>
      </c>
      <c r="B267" s="4" t="s">
        <v>840</v>
      </c>
      <c r="C267" s="5">
        <v>561</v>
      </c>
      <c r="D267" s="58">
        <v>30855</v>
      </c>
      <c r="E267" s="3"/>
      <c r="F267" s="10"/>
    </row>
    <row r="268" spans="1:6" ht="18.75" x14ac:dyDescent="0.3">
      <c r="A268" s="6" t="s">
        <v>771</v>
      </c>
      <c r="B268" s="4" t="s">
        <v>24</v>
      </c>
      <c r="C268" s="3">
        <v>561</v>
      </c>
      <c r="D268" s="58">
        <v>38148</v>
      </c>
      <c r="E268" s="5"/>
      <c r="F268" s="10"/>
    </row>
    <row r="269" spans="1:6" ht="18.75" x14ac:dyDescent="0.3">
      <c r="A269" s="3" t="s">
        <v>842</v>
      </c>
      <c r="B269" s="4" t="s">
        <v>856</v>
      </c>
      <c r="C269" s="3">
        <v>561</v>
      </c>
      <c r="D269" s="58">
        <v>58905</v>
      </c>
      <c r="E269" s="5"/>
      <c r="F269" s="10"/>
    </row>
    <row r="270" spans="1:6" ht="18.75" x14ac:dyDescent="0.3">
      <c r="A270" s="3" t="s">
        <v>15</v>
      </c>
      <c r="B270" s="4" t="s">
        <v>790</v>
      </c>
      <c r="C270" s="3">
        <v>561</v>
      </c>
      <c r="D270" s="58">
        <v>24123</v>
      </c>
      <c r="E270" s="5"/>
      <c r="F270" s="10"/>
    </row>
    <row r="271" spans="1:6" ht="18.75" x14ac:dyDescent="0.3">
      <c r="A271" s="3" t="s">
        <v>266</v>
      </c>
      <c r="B271" s="4" t="s">
        <v>843</v>
      </c>
      <c r="C271" s="3">
        <v>561</v>
      </c>
      <c r="D271" s="58">
        <v>36465</v>
      </c>
      <c r="E271" s="3"/>
      <c r="F271" s="10"/>
    </row>
    <row r="272" spans="1:6" ht="18.75" x14ac:dyDescent="0.3">
      <c r="A272" s="3"/>
      <c r="B272" s="4"/>
      <c r="C272" s="3"/>
      <c r="D272" s="58"/>
      <c r="E272" s="3"/>
      <c r="F272" s="10"/>
    </row>
    <row r="273" spans="1:6" ht="18.75" x14ac:dyDescent="0.3">
      <c r="A273" s="3"/>
      <c r="B273" s="4"/>
      <c r="C273" s="3"/>
      <c r="D273" s="58"/>
      <c r="E273" s="3"/>
      <c r="F273" s="10"/>
    </row>
    <row r="274" spans="1:6" ht="18.75" x14ac:dyDescent="0.3">
      <c r="A274" s="3"/>
      <c r="B274" s="4"/>
      <c r="C274" s="3"/>
      <c r="D274" s="58"/>
      <c r="E274" s="3"/>
      <c r="F274" s="10"/>
    </row>
    <row r="275" spans="1:6" ht="18.75" x14ac:dyDescent="0.3">
      <c r="A275" s="3"/>
      <c r="B275" s="4"/>
      <c r="C275" s="3"/>
      <c r="D275" s="58"/>
      <c r="E275" s="3"/>
      <c r="F275" s="10"/>
    </row>
    <row r="276" spans="1:6" ht="18.75" x14ac:dyDescent="0.3">
      <c r="A276" s="3"/>
      <c r="B276" s="4"/>
      <c r="C276" s="3"/>
      <c r="D276" s="5"/>
      <c r="E276" s="3" t="s">
        <v>249</v>
      </c>
      <c r="F276" s="10"/>
    </row>
    <row r="277" spans="1:6" ht="18.75" x14ac:dyDescent="0.3">
      <c r="A277" s="3"/>
      <c r="B277" s="4"/>
      <c r="C277" s="3"/>
      <c r="D277" s="5"/>
      <c r="E277" s="3"/>
      <c r="F277" s="10"/>
    </row>
    <row r="278" spans="1:6" ht="18.75" x14ac:dyDescent="0.3">
      <c r="A278" s="3"/>
      <c r="B278" s="4"/>
      <c r="C278" s="3"/>
      <c r="D278" s="5"/>
      <c r="E278" s="3"/>
      <c r="F278" s="10"/>
    </row>
    <row r="279" spans="1:6" ht="18.75" x14ac:dyDescent="0.3">
      <c r="A279" s="3"/>
      <c r="B279" s="4"/>
      <c r="C279" s="5"/>
      <c r="D279" s="5"/>
      <c r="E279" s="3"/>
      <c r="F279" s="10"/>
    </row>
    <row r="280" spans="1:6" ht="18.75" x14ac:dyDescent="0.3">
      <c r="A280" s="3"/>
      <c r="B280" s="4"/>
      <c r="C280" s="5"/>
      <c r="D280" s="5"/>
      <c r="E280" s="3"/>
    </row>
    <row r="281" spans="1:6" ht="18.75" x14ac:dyDescent="0.3">
      <c r="A281" s="3"/>
      <c r="B281" s="4"/>
      <c r="C281" s="5"/>
      <c r="D281" s="5"/>
      <c r="E281" s="3"/>
    </row>
    <row r="282" spans="1:6" ht="18.75" x14ac:dyDescent="0.3">
      <c r="A282" s="3"/>
      <c r="B282" s="4"/>
      <c r="C282" s="5"/>
      <c r="D282" s="5"/>
      <c r="E282" s="3"/>
    </row>
    <row r="283" spans="1:6" ht="18.75" x14ac:dyDescent="0.3">
      <c r="A283" s="3"/>
      <c r="B283" s="4"/>
      <c r="C283" s="5"/>
      <c r="D283" s="5"/>
      <c r="E283" s="3"/>
    </row>
    <row r="284" spans="1:6" ht="18.75" x14ac:dyDescent="0.3">
      <c r="A284" s="3"/>
      <c r="B284" s="4"/>
      <c r="C284" s="5"/>
      <c r="D284" s="5"/>
      <c r="E284" s="3"/>
    </row>
    <row r="285" spans="1:6" ht="18.75" x14ac:dyDescent="0.3">
      <c r="A285" s="3"/>
      <c r="B285" s="4"/>
      <c r="C285" s="5"/>
      <c r="D285" s="5"/>
      <c r="E285" s="37"/>
    </row>
    <row r="286" spans="1:6" ht="18.75" x14ac:dyDescent="0.3">
      <c r="A286" s="3"/>
      <c r="B286" s="4"/>
      <c r="C286" s="5"/>
      <c r="D286" s="5"/>
      <c r="E286" s="37"/>
    </row>
    <row r="292" spans="1:7" ht="18.75" x14ac:dyDescent="0.3">
      <c r="A292" s="35" t="s">
        <v>0</v>
      </c>
      <c r="B292" s="35" t="s">
        <v>1</v>
      </c>
      <c r="C292" s="35" t="s">
        <v>2</v>
      </c>
      <c r="D292" s="35" t="s">
        <v>3</v>
      </c>
      <c r="E292" s="35" t="s">
        <v>4</v>
      </c>
      <c r="F292" s="35" t="s">
        <v>5</v>
      </c>
      <c r="G292" s="35" t="s">
        <v>6</v>
      </c>
    </row>
    <row r="293" spans="1:7" ht="18.75" x14ac:dyDescent="0.3">
      <c r="A293" s="22"/>
      <c r="B293" s="22"/>
      <c r="C293" s="23"/>
      <c r="D293" s="24"/>
      <c r="E293" s="22">
        <v>900</v>
      </c>
      <c r="F293" s="25"/>
      <c r="G293" s="26">
        <f>D293*E293</f>
        <v>0</v>
      </c>
    </row>
    <row r="294" spans="1:7" ht="18.75" x14ac:dyDescent="0.3">
      <c r="A294" s="1" t="s">
        <v>7</v>
      </c>
      <c r="B294" s="7">
        <v>5.4</v>
      </c>
      <c r="C294" s="48" t="s">
        <v>3</v>
      </c>
      <c r="D294" s="48" t="s">
        <v>8</v>
      </c>
      <c r="E294" s="46"/>
      <c r="F294" s="10"/>
      <c r="G294" s="11"/>
    </row>
    <row r="295" spans="1:7" ht="18.75" x14ac:dyDescent="0.3">
      <c r="A295" s="2"/>
      <c r="B295" s="12"/>
      <c r="C295" s="5"/>
      <c r="D295" s="50"/>
      <c r="E295" s="21">
        <v>0.6</v>
      </c>
      <c r="F295" s="10"/>
      <c r="G295" s="21">
        <v>0.4</v>
      </c>
    </row>
    <row r="296" spans="1:7" ht="18.75" x14ac:dyDescent="0.3">
      <c r="A296" s="2"/>
      <c r="B296" s="12"/>
      <c r="C296" s="3"/>
      <c r="D296" s="50">
        <f t="shared" ref="D296:D303" si="9">B296*C296</f>
        <v>0</v>
      </c>
      <c r="E296" s="10"/>
      <c r="F296" s="10"/>
      <c r="G296" s="10"/>
    </row>
    <row r="297" spans="1:7" ht="18.75" x14ac:dyDescent="0.3">
      <c r="A297" s="2"/>
      <c r="B297" s="12"/>
      <c r="C297" s="3"/>
      <c r="D297" s="50">
        <f t="shared" si="9"/>
        <v>0</v>
      </c>
      <c r="E297" s="10"/>
      <c r="F297" s="10"/>
      <c r="G297" s="10"/>
    </row>
    <row r="298" spans="1:7" ht="18.75" x14ac:dyDescent="0.3">
      <c r="A298" s="2"/>
      <c r="B298" s="12"/>
      <c r="C298" s="5"/>
      <c r="D298" s="50">
        <f t="shared" si="9"/>
        <v>0</v>
      </c>
      <c r="E298" s="10"/>
      <c r="F298" s="10"/>
      <c r="G298" s="10"/>
    </row>
    <row r="299" spans="1:7" ht="18.75" x14ac:dyDescent="0.3">
      <c r="A299" s="2"/>
      <c r="B299" s="12"/>
      <c r="C299" s="3"/>
      <c r="D299" s="50">
        <f t="shared" si="9"/>
        <v>0</v>
      </c>
      <c r="E299" s="10"/>
      <c r="F299" s="10"/>
      <c r="G299" s="14">
        <f>E294-D309-D310-D311-D312-D313-D314-D315-D316-D317-D318-D319-D320-D321-D322-D323-D324-D325-D326-D327-D328-D329-D330-D331-D331</f>
        <v>0</v>
      </c>
    </row>
    <row r="300" spans="1:7" ht="18.75" x14ac:dyDescent="0.3">
      <c r="A300" s="2"/>
      <c r="B300" s="12"/>
      <c r="C300" s="3"/>
      <c r="D300" s="50">
        <f t="shared" si="9"/>
        <v>0</v>
      </c>
      <c r="E300" s="10"/>
      <c r="F300" s="10"/>
      <c r="G300" s="10"/>
    </row>
    <row r="301" spans="1:7" ht="18.75" x14ac:dyDescent="0.3">
      <c r="A301" s="2"/>
      <c r="B301" s="12"/>
      <c r="C301" s="3"/>
      <c r="D301" s="50">
        <f t="shared" si="9"/>
        <v>0</v>
      </c>
      <c r="E301" s="10"/>
      <c r="F301" s="10"/>
    </row>
    <row r="302" spans="1:7" ht="18.75" x14ac:dyDescent="0.3">
      <c r="A302" s="2"/>
      <c r="B302" s="15"/>
      <c r="C302" s="3"/>
      <c r="D302" s="50">
        <f t="shared" si="9"/>
        <v>0</v>
      </c>
      <c r="E302" s="10"/>
      <c r="F302" s="10"/>
    </row>
    <row r="303" spans="1:7" ht="18.75" x14ac:dyDescent="0.3">
      <c r="A303" s="2"/>
      <c r="B303" s="15"/>
      <c r="C303" s="3"/>
      <c r="D303" s="50">
        <f t="shared" si="9"/>
        <v>0</v>
      </c>
      <c r="E303" s="10"/>
      <c r="F303" s="16"/>
    </row>
    <row r="304" spans="1:7" ht="18.75" x14ac:dyDescent="0.3">
      <c r="A304" s="2"/>
      <c r="B304" s="15"/>
      <c r="C304" s="3"/>
      <c r="D304" s="50"/>
      <c r="E304" s="10"/>
      <c r="F304" s="17"/>
    </row>
    <row r="305" spans="1:6" ht="18.75" x14ac:dyDescent="0.3">
      <c r="A305" s="2"/>
      <c r="B305" s="12"/>
      <c r="C305" s="3"/>
      <c r="D305" s="50"/>
      <c r="E305" s="10"/>
      <c r="F305" s="10"/>
    </row>
    <row r="306" spans="1:6" ht="18.75" x14ac:dyDescent="0.3">
      <c r="A306" s="2"/>
      <c r="B306" s="12"/>
      <c r="C306" s="3"/>
      <c r="D306" s="50"/>
      <c r="E306" s="10"/>
      <c r="F306" s="10"/>
    </row>
    <row r="307" spans="1:6" ht="18.75" x14ac:dyDescent="0.3">
      <c r="A307" s="18"/>
      <c r="B307" s="19"/>
      <c r="C307" s="20"/>
      <c r="D307" s="13"/>
      <c r="E307" s="10"/>
      <c r="F307" s="10"/>
    </row>
    <row r="308" spans="1:6" ht="18.75" x14ac:dyDescent="0.3">
      <c r="A308" s="1" t="s">
        <v>10</v>
      </c>
      <c r="B308" s="1" t="s">
        <v>11</v>
      </c>
      <c r="C308" s="1" t="s">
        <v>12</v>
      </c>
      <c r="D308" s="1" t="s">
        <v>13</v>
      </c>
      <c r="E308" s="1" t="s">
        <v>14</v>
      </c>
      <c r="F308" s="10"/>
    </row>
    <row r="309" spans="1:6" ht="18.75" x14ac:dyDescent="0.3">
      <c r="A309" s="3"/>
      <c r="B309" s="4"/>
      <c r="C309" s="3"/>
      <c r="D309" s="58"/>
      <c r="E309" s="3"/>
      <c r="F309" s="10"/>
    </row>
    <row r="310" spans="1:6" ht="18.75" x14ac:dyDescent="0.3">
      <c r="A310" s="3"/>
      <c r="B310" s="4"/>
      <c r="C310" s="3"/>
      <c r="D310" s="58"/>
      <c r="E310" s="5"/>
      <c r="F310" s="10"/>
    </row>
    <row r="311" spans="1:6" ht="18.75" x14ac:dyDescent="0.3">
      <c r="A311" s="3"/>
      <c r="B311" s="4"/>
      <c r="C311" s="3"/>
      <c r="D311" s="58"/>
      <c r="E311" s="5"/>
      <c r="F311" s="10"/>
    </row>
    <row r="312" spans="1:6" ht="18.75" x14ac:dyDescent="0.3">
      <c r="A312" s="3"/>
      <c r="B312" s="4"/>
      <c r="C312" s="5"/>
      <c r="D312" s="58"/>
      <c r="E312" s="3"/>
      <c r="F312" s="10"/>
    </row>
    <row r="313" spans="1:6" ht="18.75" x14ac:dyDescent="0.3">
      <c r="A313" s="6"/>
      <c r="B313" s="4"/>
      <c r="C313" s="3"/>
      <c r="D313" s="58"/>
      <c r="E313" s="5"/>
      <c r="F313" s="10"/>
    </row>
    <row r="314" spans="1:6" ht="18.75" x14ac:dyDescent="0.3">
      <c r="A314" s="3"/>
      <c r="B314" s="4"/>
      <c r="C314" s="3"/>
      <c r="D314" s="58"/>
      <c r="E314" s="5"/>
      <c r="F314" s="10"/>
    </row>
    <row r="315" spans="1:6" ht="18.75" x14ac:dyDescent="0.3">
      <c r="A315" s="3"/>
      <c r="B315" s="4"/>
      <c r="C315" s="3"/>
      <c r="D315" s="58"/>
      <c r="E315" s="5"/>
      <c r="F315" s="10"/>
    </row>
    <row r="316" spans="1:6" ht="18.75" x14ac:dyDescent="0.3">
      <c r="A316" s="3"/>
      <c r="B316" s="4"/>
      <c r="C316" s="3"/>
      <c r="D316" s="58"/>
      <c r="E316" s="3"/>
      <c r="F316" s="10"/>
    </row>
    <row r="317" spans="1:6" ht="18.75" x14ac:dyDescent="0.3">
      <c r="A317" s="3"/>
      <c r="B317" s="4"/>
      <c r="C317" s="3"/>
      <c r="D317" s="58"/>
      <c r="E317" s="3"/>
      <c r="F317" s="10"/>
    </row>
    <row r="318" spans="1:6" ht="18.75" x14ac:dyDescent="0.3">
      <c r="A318" s="3"/>
      <c r="B318" s="4"/>
      <c r="C318" s="3"/>
      <c r="D318" s="58"/>
      <c r="E318" s="3"/>
      <c r="F318" s="10"/>
    </row>
    <row r="319" spans="1:6" ht="18.75" x14ac:dyDescent="0.3">
      <c r="A319" s="3"/>
      <c r="B319" s="4"/>
      <c r="C319" s="3"/>
      <c r="D319" s="58"/>
      <c r="E319" s="3"/>
      <c r="F319" s="10"/>
    </row>
    <row r="320" spans="1:6" ht="18.75" x14ac:dyDescent="0.3">
      <c r="A320" s="3"/>
      <c r="B320" s="4"/>
      <c r="C320" s="3"/>
      <c r="D320" s="58"/>
      <c r="E320" s="3"/>
      <c r="F320" s="10"/>
    </row>
    <row r="321" spans="1:7" ht="18.75" x14ac:dyDescent="0.3">
      <c r="A321" s="3"/>
      <c r="B321" s="4"/>
      <c r="C321" s="3"/>
      <c r="D321" s="5"/>
      <c r="E321" s="3" t="s">
        <v>249</v>
      </c>
      <c r="F321" s="10"/>
    </row>
    <row r="322" spans="1:7" ht="18.75" x14ac:dyDescent="0.3">
      <c r="A322" s="3"/>
      <c r="B322" s="4"/>
      <c r="C322" s="3"/>
      <c r="D322" s="5"/>
      <c r="E322" s="3"/>
      <c r="F322" s="10"/>
    </row>
    <row r="323" spans="1:7" ht="18.75" x14ac:dyDescent="0.3">
      <c r="A323" s="3"/>
      <c r="B323" s="4"/>
      <c r="C323" s="3"/>
      <c r="D323" s="5"/>
      <c r="E323" s="3"/>
      <c r="F323" s="10"/>
    </row>
    <row r="324" spans="1:7" ht="18.75" x14ac:dyDescent="0.3">
      <c r="A324" s="3"/>
      <c r="B324" s="4"/>
      <c r="C324" s="5"/>
      <c r="D324" s="5"/>
      <c r="E324" s="3"/>
      <c r="F324" s="10"/>
    </row>
    <row r="325" spans="1:7" ht="18.75" x14ac:dyDescent="0.3">
      <c r="A325" s="3"/>
      <c r="B325" s="4"/>
      <c r="C325" s="5"/>
      <c r="D325" s="5"/>
      <c r="E325" s="3"/>
    </row>
    <row r="326" spans="1:7" ht="18.75" x14ac:dyDescent="0.3">
      <c r="A326" s="3"/>
      <c r="B326" s="4"/>
      <c r="C326" s="5"/>
      <c r="D326" s="5"/>
      <c r="E326" s="3"/>
    </row>
    <row r="327" spans="1:7" ht="18.75" x14ac:dyDescent="0.3">
      <c r="A327" s="3"/>
      <c r="B327" s="4"/>
      <c r="C327" s="5"/>
      <c r="D327" s="5"/>
      <c r="E327" s="3"/>
    </row>
    <row r="328" spans="1:7" ht="18.75" x14ac:dyDescent="0.3">
      <c r="A328" s="3"/>
      <c r="B328" s="4"/>
      <c r="C328" s="5"/>
      <c r="D328" s="5"/>
      <c r="E328" s="3"/>
    </row>
    <row r="329" spans="1:7" ht="18.75" x14ac:dyDescent="0.3">
      <c r="A329" s="3"/>
      <c r="B329" s="4"/>
      <c r="C329" s="5"/>
      <c r="D329" s="5"/>
      <c r="E329" s="3"/>
    </row>
    <row r="330" spans="1:7" ht="18.75" x14ac:dyDescent="0.3">
      <c r="A330" s="3"/>
      <c r="B330" s="4"/>
      <c r="C330" s="5"/>
      <c r="D330" s="5"/>
      <c r="E330" s="37"/>
    </row>
    <row r="331" spans="1:7" ht="18.75" x14ac:dyDescent="0.3">
      <c r="A331" s="3"/>
      <c r="B331" s="4"/>
      <c r="C331" s="5"/>
      <c r="D331" s="5"/>
      <c r="E331" s="37"/>
    </row>
    <row r="336" spans="1:7" ht="18.75" x14ac:dyDescent="0.3">
      <c r="A336" s="35" t="s">
        <v>0</v>
      </c>
      <c r="B336" s="35" t="s">
        <v>1</v>
      </c>
      <c r="C336" s="35" t="s">
        <v>2</v>
      </c>
      <c r="D336" s="35" t="s">
        <v>3</v>
      </c>
      <c r="E336" s="35" t="s">
        <v>4</v>
      </c>
      <c r="F336" s="35" t="s">
        <v>5</v>
      </c>
      <c r="G336" s="35" t="s">
        <v>6</v>
      </c>
    </row>
    <row r="337" spans="1:7" ht="18.75" x14ac:dyDescent="0.3">
      <c r="A337" s="22"/>
      <c r="B337" s="22"/>
      <c r="C337" s="23"/>
      <c r="D337" s="24"/>
      <c r="E337" s="22">
        <v>900</v>
      </c>
      <c r="F337" s="25"/>
      <c r="G337" s="26">
        <f>D337*E337</f>
        <v>0</v>
      </c>
    </row>
    <row r="338" spans="1:7" ht="18.75" x14ac:dyDescent="0.3">
      <c r="A338" s="1" t="s">
        <v>7</v>
      </c>
      <c r="B338" s="7">
        <v>5.4</v>
      </c>
      <c r="C338" s="48" t="s">
        <v>3</v>
      </c>
      <c r="D338" s="48" t="s">
        <v>8</v>
      </c>
      <c r="E338" s="46"/>
      <c r="F338" s="10"/>
      <c r="G338" s="11"/>
    </row>
    <row r="339" spans="1:7" ht="18.75" x14ac:dyDescent="0.3">
      <c r="A339" s="2"/>
      <c r="B339" s="12"/>
      <c r="C339" s="5"/>
      <c r="D339" s="50"/>
      <c r="E339" s="21">
        <v>0.6</v>
      </c>
      <c r="F339" s="10"/>
      <c r="G339" s="21">
        <v>0.4</v>
      </c>
    </row>
    <row r="340" spans="1:7" ht="18.75" x14ac:dyDescent="0.3">
      <c r="A340" s="2"/>
      <c r="B340" s="12"/>
      <c r="C340" s="3"/>
      <c r="D340" s="50">
        <f t="shared" ref="D340:D347" si="10">B340*C340</f>
        <v>0</v>
      </c>
      <c r="E340" s="10"/>
      <c r="F340" s="10"/>
      <c r="G340" s="10"/>
    </row>
    <row r="341" spans="1:7" ht="18.75" x14ac:dyDescent="0.3">
      <c r="A341" s="2"/>
      <c r="B341" s="12"/>
      <c r="C341" s="3"/>
      <c r="D341" s="50">
        <f t="shared" si="10"/>
        <v>0</v>
      </c>
      <c r="E341" s="10"/>
      <c r="F341" s="10"/>
      <c r="G341" s="10"/>
    </row>
    <row r="342" spans="1:7" ht="18.75" x14ac:dyDescent="0.3">
      <c r="A342" s="2"/>
      <c r="B342" s="12"/>
      <c r="C342" s="5"/>
      <c r="D342" s="50">
        <f t="shared" si="10"/>
        <v>0</v>
      </c>
      <c r="E342" s="10"/>
      <c r="F342" s="10"/>
      <c r="G342" s="10"/>
    </row>
    <row r="343" spans="1:7" ht="18.75" x14ac:dyDescent="0.3">
      <c r="A343" s="2"/>
      <c r="B343" s="12"/>
      <c r="C343" s="3"/>
      <c r="D343" s="50">
        <f t="shared" si="10"/>
        <v>0</v>
      </c>
      <c r="E343" s="10"/>
      <c r="F343" s="10"/>
      <c r="G343" s="14">
        <f>E338-D353-D354-D355-D356-D357-D358-D359-D360-D361-D362-D363-D364-D365-D366-D367-D368-D369-D370-D371-D372-D373-D374-D375-D375</f>
        <v>0</v>
      </c>
    </row>
    <row r="344" spans="1:7" ht="18.75" x14ac:dyDescent="0.3">
      <c r="A344" s="2"/>
      <c r="B344" s="12"/>
      <c r="C344" s="3"/>
      <c r="D344" s="50">
        <f t="shared" si="10"/>
        <v>0</v>
      </c>
      <c r="E344" s="10"/>
      <c r="F344" s="10"/>
      <c r="G344" s="10"/>
    </row>
    <row r="345" spans="1:7" ht="18.75" x14ac:dyDescent="0.3">
      <c r="A345" s="2"/>
      <c r="B345" s="12"/>
      <c r="C345" s="3"/>
      <c r="D345" s="50">
        <f t="shared" si="10"/>
        <v>0</v>
      </c>
      <c r="E345" s="10"/>
      <c r="F345" s="10"/>
    </row>
    <row r="346" spans="1:7" ht="18.75" x14ac:dyDescent="0.3">
      <c r="A346" s="2"/>
      <c r="B346" s="15"/>
      <c r="C346" s="3"/>
      <c r="D346" s="50">
        <f t="shared" si="10"/>
        <v>0</v>
      </c>
      <c r="E346" s="10"/>
      <c r="F346" s="10"/>
    </row>
    <row r="347" spans="1:7" ht="18.75" x14ac:dyDescent="0.3">
      <c r="A347" s="2"/>
      <c r="B347" s="15"/>
      <c r="C347" s="3"/>
      <c r="D347" s="50">
        <f t="shared" si="10"/>
        <v>0</v>
      </c>
      <c r="E347" s="10"/>
      <c r="F347" s="16"/>
    </row>
    <row r="348" spans="1:7" ht="18.75" x14ac:dyDescent="0.3">
      <c r="A348" s="2"/>
      <c r="B348" s="15"/>
      <c r="C348" s="3"/>
      <c r="D348" s="50"/>
      <c r="E348" s="10"/>
      <c r="F348" s="17"/>
    </row>
    <row r="349" spans="1:7" ht="18.75" x14ac:dyDescent="0.3">
      <c r="A349" s="2"/>
      <c r="B349" s="12"/>
      <c r="C349" s="3"/>
      <c r="D349" s="50"/>
      <c r="E349" s="10"/>
      <c r="F349" s="10"/>
    </row>
    <row r="350" spans="1:7" ht="18.75" x14ac:dyDescent="0.3">
      <c r="A350" s="2"/>
      <c r="B350" s="12"/>
      <c r="C350" s="3"/>
      <c r="D350" s="50"/>
      <c r="E350" s="10"/>
      <c r="F350" s="10"/>
    </row>
    <row r="351" spans="1:7" ht="18.75" x14ac:dyDescent="0.3">
      <c r="A351" s="18"/>
      <c r="B351" s="19"/>
      <c r="C351" s="20"/>
      <c r="D351" s="13"/>
      <c r="E351" s="10"/>
      <c r="F351" s="10"/>
    </row>
    <row r="352" spans="1:7" ht="18.75" x14ac:dyDescent="0.3">
      <c r="A352" s="1" t="s">
        <v>10</v>
      </c>
      <c r="B352" s="1" t="s">
        <v>11</v>
      </c>
      <c r="C352" s="1" t="s">
        <v>12</v>
      </c>
      <c r="D352" s="1" t="s">
        <v>13</v>
      </c>
      <c r="E352" s="1" t="s">
        <v>14</v>
      </c>
      <c r="F352" s="10"/>
    </row>
    <row r="353" spans="1:6" ht="18.75" x14ac:dyDescent="0.3">
      <c r="A353" s="3"/>
      <c r="B353" s="4"/>
      <c r="C353" s="3"/>
      <c r="D353" s="58"/>
      <c r="E353" s="3"/>
      <c r="F353" s="10"/>
    </row>
    <row r="354" spans="1:6" ht="18.75" x14ac:dyDescent="0.3">
      <c r="A354" s="3"/>
      <c r="B354" s="4"/>
      <c r="C354" s="3"/>
      <c r="D354" s="58"/>
      <c r="E354" s="5"/>
      <c r="F354" s="10"/>
    </row>
    <row r="355" spans="1:6" ht="18.75" x14ac:dyDescent="0.3">
      <c r="A355" s="3"/>
      <c r="B355" s="4"/>
      <c r="C355" s="3"/>
      <c r="D355" s="58"/>
      <c r="E355" s="5"/>
      <c r="F355" s="10"/>
    </row>
    <row r="356" spans="1:6" ht="18.75" x14ac:dyDescent="0.3">
      <c r="A356" s="3"/>
      <c r="B356" s="4"/>
      <c r="C356" s="5"/>
      <c r="D356" s="58"/>
      <c r="E356" s="3"/>
      <c r="F356" s="10"/>
    </row>
    <row r="357" spans="1:6" ht="18.75" x14ac:dyDescent="0.3">
      <c r="A357" s="6"/>
      <c r="B357" s="4"/>
      <c r="C357" s="3"/>
      <c r="D357" s="58"/>
      <c r="E357" s="5"/>
      <c r="F357" s="10"/>
    </row>
    <row r="358" spans="1:6" ht="18.75" x14ac:dyDescent="0.3">
      <c r="A358" s="3"/>
      <c r="B358" s="4"/>
      <c r="C358" s="3"/>
      <c r="D358" s="58"/>
      <c r="E358" s="5"/>
      <c r="F358" s="10"/>
    </row>
    <row r="359" spans="1:6" ht="18.75" x14ac:dyDescent="0.3">
      <c r="A359" s="3"/>
      <c r="B359" s="4"/>
      <c r="C359" s="3"/>
      <c r="D359" s="58"/>
      <c r="E359" s="5"/>
      <c r="F359" s="10"/>
    </row>
    <row r="360" spans="1:6" ht="18.75" x14ac:dyDescent="0.3">
      <c r="A360" s="3"/>
      <c r="B360" s="4"/>
      <c r="C360" s="3"/>
      <c r="D360" s="58"/>
      <c r="E360" s="3"/>
      <c r="F360" s="10"/>
    </row>
    <row r="361" spans="1:6" ht="18.75" x14ac:dyDescent="0.3">
      <c r="A361" s="3"/>
      <c r="B361" s="4"/>
      <c r="C361" s="3"/>
      <c r="D361" s="58"/>
      <c r="E361" s="3"/>
      <c r="F361" s="10"/>
    </row>
    <row r="362" spans="1:6" ht="18.75" x14ac:dyDescent="0.3">
      <c r="A362" s="3"/>
      <c r="B362" s="4"/>
      <c r="C362" s="3"/>
      <c r="D362" s="58"/>
      <c r="E362" s="3"/>
      <c r="F362" s="10"/>
    </row>
    <row r="363" spans="1:6" ht="18.75" x14ac:dyDescent="0.3">
      <c r="A363" s="3"/>
      <c r="B363" s="4"/>
      <c r="C363" s="3"/>
      <c r="D363" s="58"/>
      <c r="E363" s="3"/>
      <c r="F363" s="10"/>
    </row>
    <row r="364" spans="1:6" ht="18.75" x14ac:dyDescent="0.3">
      <c r="A364" s="3"/>
      <c r="B364" s="4"/>
      <c r="C364" s="3"/>
      <c r="D364" s="58"/>
      <c r="E364" s="3"/>
      <c r="F364" s="10"/>
    </row>
    <row r="365" spans="1:6" ht="18.75" x14ac:dyDescent="0.3">
      <c r="A365" s="3"/>
      <c r="B365" s="4"/>
      <c r="C365" s="3"/>
      <c r="D365" s="5"/>
      <c r="E365" s="3" t="s">
        <v>249</v>
      </c>
      <c r="F365" s="10"/>
    </row>
    <row r="366" spans="1:6" ht="18.75" x14ac:dyDescent="0.3">
      <c r="A366" s="3"/>
      <c r="B366" s="4"/>
      <c r="C366" s="3"/>
      <c r="D366" s="5"/>
      <c r="E366" s="3"/>
      <c r="F366" s="10"/>
    </row>
    <row r="367" spans="1:6" ht="18.75" x14ac:dyDescent="0.3">
      <c r="A367" s="3"/>
      <c r="B367" s="4"/>
      <c r="C367" s="3"/>
      <c r="D367" s="5"/>
      <c r="E367" s="3"/>
      <c r="F367" s="10"/>
    </row>
    <row r="368" spans="1:6" ht="18.75" x14ac:dyDescent="0.3">
      <c r="A368" s="3"/>
      <c r="B368" s="4"/>
      <c r="C368" s="5"/>
      <c r="D368" s="5"/>
      <c r="E368" s="3"/>
      <c r="F368" s="10"/>
    </row>
    <row r="369" spans="1:7" ht="18.75" x14ac:dyDescent="0.3">
      <c r="A369" s="3"/>
      <c r="B369" s="4"/>
      <c r="C369" s="5"/>
      <c r="D369" s="5"/>
      <c r="E369" s="3"/>
    </row>
    <row r="370" spans="1:7" ht="18.75" x14ac:dyDescent="0.3">
      <c r="A370" s="3"/>
      <c r="B370" s="4"/>
      <c r="C370" s="5"/>
      <c r="D370" s="5"/>
      <c r="E370" s="3"/>
    </row>
    <row r="371" spans="1:7" ht="18.75" x14ac:dyDescent="0.3">
      <c r="A371" s="3"/>
      <c r="B371" s="4"/>
      <c r="C371" s="5"/>
      <c r="D371" s="5"/>
      <c r="E371" s="3"/>
    </row>
    <row r="372" spans="1:7" ht="18.75" x14ac:dyDescent="0.3">
      <c r="A372" s="3"/>
      <c r="B372" s="4"/>
      <c r="C372" s="5"/>
      <c r="D372" s="5"/>
      <c r="E372" s="3"/>
    </row>
    <row r="373" spans="1:7" ht="18.75" x14ac:dyDescent="0.3">
      <c r="A373" s="3"/>
      <c r="B373" s="4"/>
      <c r="C373" s="5"/>
      <c r="D373" s="5"/>
      <c r="E373" s="3"/>
    </row>
    <row r="374" spans="1:7" ht="18.75" x14ac:dyDescent="0.3">
      <c r="A374" s="3"/>
      <c r="B374" s="4"/>
      <c r="C374" s="5"/>
      <c r="D374" s="5"/>
      <c r="E374" s="37"/>
    </row>
    <row r="375" spans="1:7" ht="18.75" x14ac:dyDescent="0.3">
      <c r="A375" s="3"/>
      <c r="B375" s="4"/>
      <c r="C375" s="5"/>
      <c r="D375" s="5"/>
      <c r="E375" s="37"/>
    </row>
    <row r="380" spans="1:7" ht="18.75" x14ac:dyDescent="0.3">
      <c r="A380" s="35" t="s">
        <v>0</v>
      </c>
      <c r="B380" s="35" t="s">
        <v>1</v>
      </c>
      <c r="C380" s="35" t="s">
        <v>2</v>
      </c>
      <c r="D380" s="35" t="s">
        <v>3</v>
      </c>
      <c r="E380" s="35" t="s">
        <v>4</v>
      </c>
      <c r="F380" s="35" t="s">
        <v>5</v>
      </c>
      <c r="G380" s="35" t="s">
        <v>6</v>
      </c>
    </row>
    <row r="381" spans="1:7" ht="18.75" x14ac:dyDescent="0.3">
      <c r="A381" s="22"/>
      <c r="B381" s="22"/>
      <c r="C381" s="23"/>
      <c r="D381" s="24"/>
      <c r="E381" s="22">
        <v>900</v>
      </c>
      <c r="F381" s="25"/>
      <c r="G381" s="26">
        <f>D381*E381</f>
        <v>0</v>
      </c>
    </row>
    <row r="382" spans="1:7" ht="18.75" x14ac:dyDescent="0.3">
      <c r="A382" s="1" t="s">
        <v>7</v>
      </c>
      <c r="B382" s="7">
        <v>5.4</v>
      </c>
      <c r="C382" s="48" t="s">
        <v>3</v>
      </c>
      <c r="D382" s="48" t="s">
        <v>8</v>
      </c>
      <c r="E382" s="46"/>
      <c r="F382" s="10"/>
      <c r="G382" s="11"/>
    </row>
    <row r="383" spans="1:7" ht="18.75" x14ac:dyDescent="0.3">
      <c r="A383" s="2"/>
      <c r="B383" s="12"/>
      <c r="C383" s="5"/>
      <c r="D383" s="50"/>
      <c r="E383" s="21">
        <v>0.6</v>
      </c>
      <c r="F383" s="10"/>
      <c r="G383" s="21">
        <v>0.4</v>
      </c>
    </row>
    <row r="384" spans="1:7" ht="18.75" x14ac:dyDescent="0.3">
      <c r="A384" s="2"/>
      <c r="B384" s="12"/>
      <c r="C384" s="3"/>
      <c r="D384" s="50">
        <f t="shared" ref="D384:D391" si="11">B384*C384</f>
        <v>0</v>
      </c>
      <c r="E384" s="10"/>
      <c r="F384" s="10"/>
      <c r="G384" s="10"/>
    </row>
    <row r="385" spans="1:7" ht="18.75" x14ac:dyDescent="0.3">
      <c r="A385" s="2"/>
      <c r="B385" s="12"/>
      <c r="C385" s="3"/>
      <c r="D385" s="50">
        <f t="shared" si="11"/>
        <v>0</v>
      </c>
      <c r="E385" s="10"/>
      <c r="F385" s="10"/>
      <c r="G385" s="10"/>
    </row>
    <row r="386" spans="1:7" ht="18.75" x14ac:dyDescent="0.3">
      <c r="A386" s="2"/>
      <c r="B386" s="12"/>
      <c r="C386" s="5"/>
      <c r="D386" s="50">
        <f t="shared" si="11"/>
        <v>0</v>
      </c>
      <c r="E386" s="10"/>
      <c r="F386" s="10"/>
      <c r="G386" s="10"/>
    </row>
    <row r="387" spans="1:7" ht="18.75" x14ac:dyDescent="0.3">
      <c r="A387" s="2"/>
      <c r="B387" s="12"/>
      <c r="C387" s="3"/>
      <c r="D387" s="50">
        <f t="shared" si="11"/>
        <v>0</v>
      </c>
      <c r="E387" s="10"/>
      <c r="F387" s="10"/>
      <c r="G387" s="14">
        <f>E382-D397-D398-D399-D400-D401-D402-D403-D404-D405-D406-D407-D408-D409-D410-D411-D412-D413-D414-D415-D416-D417-D418-D419-D419</f>
        <v>0</v>
      </c>
    </row>
    <row r="388" spans="1:7" ht="18.75" x14ac:dyDescent="0.3">
      <c r="A388" s="2"/>
      <c r="B388" s="12"/>
      <c r="C388" s="3"/>
      <c r="D388" s="50">
        <f t="shared" si="11"/>
        <v>0</v>
      </c>
      <c r="E388" s="10"/>
      <c r="F388" s="10"/>
      <c r="G388" s="10"/>
    </row>
    <row r="389" spans="1:7" ht="18.75" x14ac:dyDescent="0.3">
      <c r="A389" s="2"/>
      <c r="B389" s="12"/>
      <c r="C389" s="3"/>
      <c r="D389" s="50">
        <f t="shared" si="11"/>
        <v>0</v>
      </c>
      <c r="E389" s="10"/>
      <c r="F389" s="10"/>
    </row>
    <row r="390" spans="1:7" ht="18.75" x14ac:dyDescent="0.3">
      <c r="A390" s="2"/>
      <c r="B390" s="15"/>
      <c r="C390" s="3"/>
      <c r="D390" s="50">
        <f t="shared" si="11"/>
        <v>0</v>
      </c>
      <c r="E390" s="10"/>
      <c r="F390" s="10"/>
    </row>
    <row r="391" spans="1:7" ht="18.75" x14ac:dyDescent="0.3">
      <c r="A391" s="2"/>
      <c r="B391" s="15"/>
      <c r="C391" s="3"/>
      <c r="D391" s="50">
        <f t="shared" si="11"/>
        <v>0</v>
      </c>
      <c r="E391" s="10"/>
      <c r="F391" s="16"/>
    </row>
    <row r="392" spans="1:7" ht="18.75" x14ac:dyDescent="0.3">
      <c r="A392" s="2"/>
      <c r="B392" s="15"/>
      <c r="C392" s="3"/>
      <c r="D392" s="50"/>
      <c r="E392" s="10"/>
      <c r="F392" s="17"/>
    </row>
    <row r="393" spans="1:7" ht="18.75" x14ac:dyDescent="0.3">
      <c r="A393" s="2"/>
      <c r="B393" s="12"/>
      <c r="C393" s="3"/>
      <c r="D393" s="50"/>
      <c r="E393" s="10"/>
      <c r="F393" s="10"/>
    </row>
    <row r="394" spans="1:7" ht="18.75" x14ac:dyDescent="0.3">
      <c r="A394" s="2"/>
      <c r="B394" s="12"/>
      <c r="C394" s="3"/>
      <c r="D394" s="50"/>
      <c r="E394" s="10"/>
      <c r="F394" s="10"/>
    </row>
    <row r="395" spans="1:7" ht="18.75" x14ac:dyDescent="0.3">
      <c r="A395" s="18"/>
      <c r="B395" s="19"/>
      <c r="C395" s="20"/>
      <c r="D395" s="13"/>
      <c r="E395" s="10"/>
      <c r="F395" s="10"/>
    </row>
    <row r="396" spans="1:7" ht="18.75" x14ac:dyDescent="0.3">
      <c r="A396" s="1" t="s">
        <v>10</v>
      </c>
      <c r="B396" s="1" t="s">
        <v>11</v>
      </c>
      <c r="C396" s="1" t="s">
        <v>12</v>
      </c>
      <c r="D396" s="1" t="s">
        <v>13</v>
      </c>
      <c r="E396" s="1" t="s">
        <v>14</v>
      </c>
      <c r="F396" s="10"/>
    </row>
    <row r="397" spans="1:7" ht="18.75" x14ac:dyDescent="0.3">
      <c r="A397" s="3"/>
      <c r="B397" s="4"/>
      <c r="C397" s="3"/>
      <c r="D397" s="58"/>
      <c r="E397" s="3"/>
      <c r="F397" s="10"/>
    </row>
    <row r="398" spans="1:7" ht="18.75" x14ac:dyDescent="0.3">
      <c r="A398" s="3"/>
      <c r="B398" s="4"/>
      <c r="C398" s="3"/>
      <c r="D398" s="58"/>
      <c r="E398" s="5"/>
      <c r="F398" s="10"/>
    </row>
    <row r="399" spans="1:7" ht="18.75" x14ac:dyDescent="0.3">
      <c r="A399" s="3"/>
      <c r="B399" s="4"/>
      <c r="C399" s="3"/>
      <c r="D399" s="58"/>
      <c r="E399" s="5"/>
      <c r="F399" s="10"/>
    </row>
    <row r="400" spans="1:7" ht="18.75" x14ac:dyDescent="0.3">
      <c r="A400" s="3"/>
      <c r="B400" s="4"/>
      <c r="C400" s="5"/>
      <c r="D400" s="58"/>
      <c r="E400" s="3"/>
      <c r="F400" s="10"/>
    </row>
    <row r="401" spans="1:6" ht="18.75" x14ac:dyDescent="0.3">
      <c r="A401" s="6"/>
      <c r="B401" s="4"/>
      <c r="C401" s="3"/>
      <c r="D401" s="58"/>
      <c r="E401" s="5"/>
      <c r="F401" s="10"/>
    </row>
    <row r="402" spans="1:6" ht="18.75" x14ac:dyDescent="0.3">
      <c r="A402" s="3"/>
      <c r="B402" s="4"/>
      <c r="C402" s="3"/>
      <c r="D402" s="58"/>
      <c r="E402" s="5"/>
      <c r="F402" s="10"/>
    </row>
    <row r="403" spans="1:6" ht="18.75" x14ac:dyDescent="0.3">
      <c r="A403" s="3"/>
      <c r="B403" s="4"/>
      <c r="C403" s="3"/>
      <c r="D403" s="58"/>
      <c r="E403" s="5"/>
      <c r="F403" s="10"/>
    </row>
    <row r="404" spans="1:6" ht="18.75" x14ac:dyDescent="0.3">
      <c r="A404" s="3"/>
      <c r="B404" s="4"/>
      <c r="C404" s="3"/>
      <c r="D404" s="58"/>
      <c r="E404" s="3"/>
      <c r="F404" s="10"/>
    </row>
    <row r="405" spans="1:6" ht="18.75" x14ac:dyDescent="0.3">
      <c r="A405" s="3"/>
      <c r="B405" s="4"/>
      <c r="C405" s="3"/>
      <c r="D405" s="58"/>
      <c r="E405" s="3"/>
      <c r="F405" s="10"/>
    </row>
    <row r="406" spans="1:6" ht="18.75" x14ac:dyDescent="0.3">
      <c r="A406" s="3"/>
      <c r="B406" s="4"/>
      <c r="C406" s="3"/>
      <c r="D406" s="58"/>
      <c r="E406" s="3"/>
      <c r="F406" s="10"/>
    </row>
    <row r="407" spans="1:6" ht="18.75" x14ac:dyDescent="0.3">
      <c r="A407" s="3"/>
      <c r="B407" s="4"/>
      <c r="C407" s="3"/>
      <c r="D407" s="58"/>
      <c r="E407" s="3"/>
      <c r="F407" s="10"/>
    </row>
    <row r="408" spans="1:6" ht="18.75" x14ac:dyDescent="0.3">
      <c r="A408" s="3"/>
      <c r="B408" s="4"/>
      <c r="C408" s="3"/>
      <c r="D408" s="58"/>
      <c r="E408" s="3"/>
      <c r="F408" s="10"/>
    </row>
    <row r="409" spans="1:6" ht="18.75" x14ac:dyDescent="0.3">
      <c r="A409" s="3"/>
      <c r="B409" s="4"/>
      <c r="C409" s="3"/>
      <c r="D409" s="5"/>
      <c r="E409" s="3" t="s">
        <v>249</v>
      </c>
      <c r="F409" s="10"/>
    </row>
    <row r="410" spans="1:6" ht="18.75" x14ac:dyDescent="0.3">
      <c r="A410" s="3"/>
      <c r="B410" s="4"/>
      <c r="C410" s="3"/>
      <c r="D410" s="5"/>
      <c r="E410" s="3"/>
      <c r="F410" s="10"/>
    </row>
    <row r="411" spans="1:6" ht="18.75" x14ac:dyDescent="0.3">
      <c r="A411" s="3"/>
      <c r="B411" s="4"/>
      <c r="C411" s="3"/>
      <c r="D411" s="5"/>
      <c r="E411" s="3"/>
      <c r="F411" s="10"/>
    </row>
    <row r="412" spans="1:6" ht="18.75" x14ac:dyDescent="0.3">
      <c r="A412" s="3"/>
      <c r="B412" s="4"/>
      <c r="C412" s="5"/>
      <c r="D412" s="5"/>
      <c r="E412" s="3"/>
      <c r="F412" s="10"/>
    </row>
    <row r="413" spans="1:6" ht="18.75" x14ac:dyDescent="0.3">
      <c r="A413" s="3"/>
      <c r="B413" s="4"/>
      <c r="C413" s="5"/>
      <c r="D413" s="5"/>
      <c r="E413" s="3"/>
    </row>
    <row r="414" spans="1:6" ht="18.75" x14ac:dyDescent="0.3">
      <c r="A414" s="3"/>
      <c r="B414" s="4"/>
      <c r="C414" s="5"/>
      <c r="D414" s="5"/>
      <c r="E414" s="3"/>
    </row>
    <row r="415" spans="1:6" ht="18.75" x14ac:dyDescent="0.3">
      <c r="A415" s="3"/>
      <c r="B415" s="4"/>
      <c r="C415" s="5"/>
      <c r="D415" s="5"/>
      <c r="E415" s="3"/>
    </row>
    <row r="416" spans="1:6" ht="18.75" x14ac:dyDescent="0.3">
      <c r="A416" s="3"/>
      <c r="B416" s="4"/>
      <c r="C416" s="5"/>
      <c r="D416" s="5"/>
      <c r="E416" s="3"/>
    </row>
    <row r="417" spans="1:5" ht="18.75" x14ac:dyDescent="0.3">
      <c r="A417" s="3"/>
      <c r="B417" s="4"/>
      <c r="C417" s="5"/>
      <c r="D417" s="5"/>
      <c r="E417" s="3"/>
    </row>
    <row r="418" spans="1:5" ht="18.75" x14ac:dyDescent="0.3">
      <c r="A418" s="3"/>
      <c r="B418" s="4"/>
      <c r="C418" s="5"/>
      <c r="D418" s="5"/>
      <c r="E418" s="37"/>
    </row>
    <row r="419" spans="1:5" ht="18.75" x14ac:dyDescent="0.3">
      <c r="A419" s="3"/>
      <c r="B419" s="4"/>
      <c r="C419" s="5"/>
      <c r="D419" s="5"/>
      <c r="E419" s="37"/>
    </row>
  </sheetData>
  <mergeCells count="3">
    <mergeCell ref="B104:D105"/>
    <mergeCell ref="A141:C142"/>
    <mergeCell ref="A210:C2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DFD5-AD07-43B9-AAAA-2FBE409D5305}">
  <dimension ref="A1:G1215"/>
  <sheetViews>
    <sheetView topLeftCell="A881" zoomScale="68" zoomScaleNormal="68" workbookViewId="0">
      <selection activeCell="A867" sqref="A867:G906"/>
    </sheetView>
  </sheetViews>
  <sheetFormatPr baseColWidth="10" defaultRowHeight="15" x14ac:dyDescent="0.25"/>
  <cols>
    <col min="1" max="1" width="32.7109375" customWidth="1"/>
    <col min="2" max="2" width="38.85546875" customWidth="1"/>
    <col min="3" max="3" width="27.42578125" customWidth="1"/>
    <col min="4" max="4" width="24.28515625" customWidth="1"/>
    <col min="5" max="5" width="22.28515625" customWidth="1"/>
    <col min="6" max="6" width="15.140625" customWidth="1"/>
    <col min="7" max="7" width="21.7109375" customWidth="1"/>
  </cols>
  <sheetData>
    <row r="1" spans="1:7" ht="19.5" thickBot="1" x14ac:dyDescent="0.35">
      <c r="A1" s="155" t="s">
        <v>18</v>
      </c>
      <c r="B1" s="156"/>
      <c r="C1" s="157"/>
      <c r="D1" s="10"/>
      <c r="E1" s="10"/>
      <c r="F1" s="10"/>
      <c r="G1" s="10"/>
    </row>
    <row r="2" spans="1:7" ht="18.75" x14ac:dyDescent="0.3">
      <c r="A2" s="10"/>
      <c r="B2" s="10"/>
      <c r="C2" s="10"/>
      <c r="D2" s="10"/>
      <c r="E2" s="10"/>
      <c r="F2" s="10"/>
      <c r="G2" s="10"/>
    </row>
    <row r="3" spans="1:7" ht="18.75" x14ac:dyDescent="0.3">
      <c r="A3" s="35" t="s">
        <v>124</v>
      </c>
      <c r="B3" s="35" t="s">
        <v>1</v>
      </c>
      <c r="C3" s="35" t="s">
        <v>2</v>
      </c>
      <c r="D3" s="35" t="s">
        <v>3</v>
      </c>
      <c r="E3" s="35" t="s">
        <v>4</v>
      </c>
      <c r="F3" s="35" t="s">
        <v>5</v>
      </c>
      <c r="G3" s="35" t="s">
        <v>6</v>
      </c>
    </row>
    <row r="4" spans="1:7" ht="18.75" x14ac:dyDescent="0.3">
      <c r="A4" s="22">
        <v>1</v>
      </c>
      <c r="B4" s="22" t="s">
        <v>54</v>
      </c>
      <c r="C4" s="23" t="s">
        <v>47</v>
      </c>
      <c r="D4" s="24">
        <v>336</v>
      </c>
      <c r="E4" s="22">
        <v>900</v>
      </c>
      <c r="F4" s="25" t="s">
        <v>48</v>
      </c>
      <c r="G4" s="26">
        <f>D4*E4</f>
        <v>302400</v>
      </c>
    </row>
    <row r="5" spans="1:7" ht="18.75" x14ac:dyDescent="0.3">
      <c r="A5" s="1" t="s">
        <v>7</v>
      </c>
      <c r="B5" s="7">
        <v>5.4</v>
      </c>
      <c r="C5" s="8" t="s">
        <v>3</v>
      </c>
      <c r="D5" s="8" t="s">
        <v>8</v>
      </c>
      <c r="E5" s="9">
        <v>181440</v>
      </c>
      <c r="F5" s="10"/>
      <c r="G5" s="11">
        <v>120960</v>
      </c>
    </row>
    <row r="6" spans="1:7" ht="18.75" x14ac:dyDescent="0.3">
      <c r="A6" s="2" t="s">
        <v>49</v>
      </c>
      <c r="B6" s="12">
        <v>58</v>
      </c>
      <c r="C6" s="5">
        <v>168</v>
      </c>
      <c r="D6" s="52">
        <f>B6*C6</f>
        <v>9744</v>
      </c>
      <c r="E6" s="21">
        <v>0.6</v>
      </c>
      <c r="F6" s="10"/>
      <c r="G6" s="21">
        <v>0.4</v>
      </c>
    </row>
    <row r="7" spans="1:7" ht="18.75" x14ac:dyDescent="0.3">
      <c r="A7" s="2" t="s">
        <v>50</v>
      </c>
      <c r="B7" s="12">
        <v>86</v>
      </c>
      <c r="C7" s="3">
        <v>168</v>
      </c>
      <c r="D7" s="52">
        <f t="shared" ref="D7:D14" si="0">B7*C7</f>
        <v>14448</v>
      </c>
      <c r="E7" s="10"/>
      <c r="F7" s="10"/>
      <c r="G7" s="10"/>
    </row>
    <row r="8" spans="1:7" ht="18.75" x14ac:dyDescent="0.3">
      <c r="A8" s="2" t="s">
        <v>46</v>
      </c>
      <c r="B8" s="12">
        <v>89</v>
      </c>
      <c r="C8" s="5">
        <v>168</v>
      </c>
      <c r="D8" s="52">
        <f t="shared" si="0"/>
        <v>14952</v>
      </c>
      <c r="E8" s="10"/>
      <c r="F8" s="10"/>
      <c r="G8" s="10"/>
    </row>
    <row r="9" spans="1:7" ht="18.75" x14ac:dyDescent="0.3">
      <c r="A9" s="2" t="s">
        <v>24</v>
      </c>
      <c r="B9" s="12">
        <v>66</v>
      </c>
      <c r="C9" s="3">
        <v>336</v>
      </c>
      <c r="D9" s="52">
        <f t="shared" si="0"/>
        <v>22176</v>
      </c>
      <c r="E9" s="10"/>
      <c r="F9" s="10"/>
      <c r="G9" s="14">
        <f>E5-D20-D21-D22-D23-D24-D25-D26-D27-D28-D29-D30-D31-D32-D33</f>
        <v>0</v>
      </c>
    </row>
    <row r="10" spans="1:7" ht="18.75" x14ac:dyDescent="0.3">
      <c r="A10" s="2" t="s">
        <v>51</v>
      </c>
      <c r="B10" s="12">
        <v>64</v>
      </c>
      <c r="C10" s="3">
        <v>336</v>
      </c>
      <c r="D10" s="52">
        <f t="shared" si="0"/>
        <v>21504</v>
      </c>
      <c r="E10" s="10"/>
      <c r="F10" s="10"/>
      <c r="G10" s="10"/>
    </row>
    <row r="11" spans="1:7" ht="18.75" x14ac:dyDescent="0.3">
      <c r="A11" s="2" t="s">
        <v>52</v>
      </c>
      <c r="B11" s="12">
        <v>60</v>
      </c>
      <c r="C11" s="3">
        <v>336</v>
      </c>
      <c r="D11" s="52">
        <f t="shared" si="0"/>
        <v>20160</v>
      </c>
      <c r="E11" s="10"/>
      <c r="F11" s="10"/>
      <c r="G11" s="10"/>
    </row>
    <row r="12" spans="1:7" ht="18.75" x14ac:dyDescent="0.3">
      <c r="A12" s="2" t="s">
        <v>53</v>
      </c>
      <c r="B12" s="12">
        <v>43</v>
      </c>
      <c r="C12" s="3">
        <v>336</v>
      </c>
      <c r="D12" s="52">
        <f t="shared" si="0"/>
        <v>14448</v>
      </c>
      <c r="E12" s="10"/>
      <c r="F12" s="10"/>
      <c r="G12" s="10"/>
    </row>
    <row r="13" spans="1:7" ht="18.75" x14ac:dyDescent="0.3">
      <c r="A13" s="2" t="s">
        <v>41</v>
      </c>
      <c r="B13" s="12">
        <v>74</v>
      </c>
      <c r="C13" s="3">
        <v>336</v>
      </c>
      <c r="D13" s="52">
        <f t="shared" si="0"/>
        <v>24864</v>
      </c>
      <c r="E13" s="10"/>
      <c r="F13" s="10"/>
      <c r="G13" s="10"/>
    </row>
    <row r="14" spans="1:7" ht="18.75" x14ac:dyDescent="0.3">
      <c r="A14" s="2"/>
      <c r="B14" s="15"/>
      <c r="C14" s="3"/>
      <c r="D14" s="52">
        <f t="shared" si="0"/>
        <v>0</v>
      </c>
      <c r="E14" s="10"/>
      <c r="F14" s="16"/>
      <c r="G14" s="16"/>
    </row>
    <row r="15" spans="1:7" ht="18.75" x14ac:dyDescent="0.3">
      <c r="A15" s="2"/>
      <c r="B15" s="15"/>
      <c r="C15" s="3"/>
      <c r="D15" s="13">
        <f>B15*C15</f>
        <v>0</v>
      </c>
      <c r="E15" s="10"/>
      <c r="F15" s="17"/>
      <c r="G15" s="17"/>
    </row>
    <row r="16" spans="1:7" ht="18.75" x14ac:dyDescent="0.3">
      <c r="A16" s="2"/>
      <c r="B16" s="12"/>
      <c r="C16" s="3"/>
      <c r="D16" s="13">
        <f>B16*C16</f>
        <v>0</v>
      </c>
      <c r="E16" s="10"/>
      <c r="F16" s="10"/>
      <c r="G16" s="10"/>
    </row>
    <row r="17" spans="1:7" ht="18.75" x14ac:dyDescent="0.3">
      <c r="A17" s="2"/>
      <c r="B17" s="12"/>
      <c r="C17" s="3"/>
      <c r="D17" s="13"/>
      <c r="E17" s="10"/>
      <c r="F17" s="10"/>
      <c r="G17" s="10"/>
    </row>
    <row r="18" spans="1:7" ht="18.75" x14ac:dyDescent="0.3">
      <c r="A18" s="18"/>
      <c r="B18" s="19"/>
      <c r="C18" s="20"/>
      <c r="D18" s="13"/>
      <c r="E18" s="10"/>
      <c r="F18" s="10"/>
      <c r="G18" s="10"/>
    </row>
    <row r="19" spans="1:7" ht="18.75" x14ac:dyDescent="0.3">
      <c r="A19" s="1" t="s">
        <v>10</v>
      </c>
      <c r="B19" s="1" t="s">
        <v>11</v>
      </c>
      <c r="C19" s="1" t="s">
        <v>12</v>
      </c>
      <c r="D19" s="1" t="s">
        <v>13</v>
      </c>
      <c r="E19" s="1" t="s">
        <v>14</v>
      </c>
      <c r="F19" s="10"/>
      <c r="G19" s="10"/>
    </row>
    <row r="20" spans="1:7" ht="18.75" x14ac:dyDescent="0.3">
      <c r="A20" s="3" t="s">
        <v>17</v>
      </c>
      <c r="B20" s="4" t="s">
        <v>55</v>
      </c>
      <c r="C20" s="3">
        <v>336</v>
      </c>
      <c r="D20" s="51">
        <v>21504</v>
      </c>
      <c r="E20" s="3"/>
      <c r="F20" s="10"/>
      <c r="G20" s="10"/>
    </row>
    <row r="21" spans="1:7" ht="18.75" x14ac:dyDescent="0.3">
      <c r="A21" s="3" t="s">
        <v>16</v>
      </c>
      <c r="B21" s="4" t="s">
        <v>56</v>
      </c>
      <c r="C21" s="3">
        <v>168</v>
      </c>
      <c r="D21" s="51">
        <v>39144</v>
      </c>
      <c r="E21" s="5"/>
      <c r="F21" s="10"/>
      <c r="G21" s="10"/>
    </row>
    <row r="22" spans="1:7" ht="18.75" x14ac:dyDescent="0.3">
      <c r="A22" s="3" t="s">
        <v>16</v>
      </c>
      <c r="B22" s="4" t="s">
        <v>57</v>
      </c>
      <c r="C22" s="3">
        <v>168</v>
      </c>
      <c r="D22" s="51">
        <v>29400</v>
      </c>
      <c r="E22" s="5"/>
      <c r="F22" s="10"/>
      <c r="G22" s="10"/>
    </row>
    <row r="23" spans="1:7" ht="18.75" x14ac:dyDescent="0.3">
      <c r="A23" s="3" t="s">
        <v>58</v>
      </c>
      <c r="B23" s="4" t="s">
        <v>9</v>
      </c>
      <c r="C23" s="5">
        <v>168</v>
      </c>
      <c r="D23" s="51">
        <v>9744</v>
      </c>
      <c r="E23" s="3"/>
      <c r="F23" s="10"/>
      <c r="G23" s="10"/>
    </row>
    <row r="24" spans="1:7" ht="18.75" x14ac:dyDescent="0.3">
      <c r="A24" s="6" t="s">
        <v>59</v>
      </c>
      <c r="B24" s="4" t="s">
        <v>60</v>
      </c>
      <c r="C24" s="3">
        <v>336</v>
      </c>
      <c r="D24" s="51">
        <v>20160</v>
      </c>
      <c r="E24" s="5"/>
      <c r="F24" s="10"/>
      <c r="G24" s="10"/>
    </row>
    <row r="25" spans="1:7" ht="18.75" x14ac:dyDescent="0.3">
      <c r="A25" s="3" t="s">
        <v>17</v>
      </c>
      <c r="B25" s="4" t="s">
        <v>61</v>
      </c>
      <c r="C25" s="3">
        <v>336</v>
      </c>
      <c r="D25" s="51">
        <v>22176</v>
      </c>
      <c r="E25" s="5"/>
      <c r="F25" s="10"/>
      <c r="G25" s="10"/>
    </row>
    <row r="26" spans="1:7" ht="18.75" x14ac:dyDescent="0.3">
      <c r="A26" s="3" t="s">
        <v>104</v>
      </c>
      <c r="B26" s="4" t="s">
        <v>62</v>
      </c>
      <c r="C26" s="3">
        <v>336</v>
      </c>
      <c r="D26" s="51">
        <v>14448</v>
      </c>
      <c r="E26" s="5"/>
      <c r="F26" s="10"/>
      <c r="G26" s="10"/>
    </row>
    <row r="27" spans="1:7" ht="18.75" x14ac:dyDescent="0.3">
      <c r="A27" s="3" t="s">
        <v>63</v>
      </c>
      <c r="B27" s="4" t="s">
        <v>41</v>
      </c>
      <c r="C27" s="3">
        <v>336</v>
      </c>
      <c r="D27" s="51">
        <v>24864</v>
      </c>
      <c r="E27" s="3"/>
      <c r="F27" s="10"/>
      <c r="G27" s="10"/>
    </row>
    <row r="28" spans="1:7" ht="18.75" x14ac:dyDescent="0.3">
      <c r="A28" s="3"/>
      <c r="B28" s="4"/>
      <c r="C28" s="3"/>
      <c r="D28" s="51"/>
      <c r="E28" s="3"/>
      <c r="F28" s="10"/>
      <c r="G28" s="10"/>
    </row>
    <row r="29" spans="1:7" ht="18.75" x14ac:dyDescent="0.3">
      <c r="A29" s="3" t="s">
        <v>42</v>
      </c>
      <c r="B29" s="4"/>
      <c r="C29" s="3"/>
      <c r="D29" s="5"/>
      <c r="E29" s="3"/>
      <c r="F29" s="10"/>
      <c r="G29" s="10"/>
    </row>
    <row r="30" spans="1:7" ht="18.75" x14ac:dyDescent="0.3">
      <c r="A30" s="3"/>
      <c r="B30" s="4"/>
      <c r="C30" s="3"/>
      <c r="D30" s="5"/>
      <c r="E30" s="3"/>
      <c r="F30" s="10"/>
      <c r="G30" s="10"/>
    </row>
    <row r="31" spans="1:7" ht="18.75" x14ac:dyDescent="0.3">
      <c r="A31" s="3"/>
      <c r="B31" s="4"/>
      <c r="C31" s="5"/>
      <c r="D31" s="5"/>
      <c r="E31" s="3"/>
      <c r="F31" s="10"/>
      <c r="G31" s="10"/>
    </row>
    <row r="32" spans="1:7" ht="18.75" x14ac:dyDescent="0.3">
      <c r="A32" s="3"/>
      <c r="B32" s="4"/>
      <c r="C32" s="3"/>
      <c r="D32" s="5"/>
      <c r="E32" s="3"/>
      <c r="F32" s="10"/>
      <c r="G32" s="10"/>
    </row>
    <row r="33" spans="1:7" ht="18.75" x14ac:dyDescent="0.3">
      <c r="A33" s="3"/>
      <c r="B33" s="4"/>
      <c r="C33" s="3"/>
      <c r="D33" s="5"/>
      <c r="E33" s="3"/>
      <c r="F33" s="10"/>
      <c r="G33" s="10"/>
    </row>
    <row r="34" spans="1:7" ht="18.75" x14ac:dyDescent="0.3">
      <c r="A34" s="3"/>
      <c r="B34" s="4"/>
      <c r="C34" s="3"/>
      <c r="D34" s="5"/>
      <c r="E34" s="3"/>
      <c r="F34" s="10"/>
      <c r="G34" s="10"/>
    </row>
    <row r="35" spans="1:7" ht="18.75" x14ac:dyDescent="0.3">
      <c r="A35" s="3"/>
      <c r="B35" s="4"/>
      <c r="C35" s="3"/>
      <c r="D35" s="5"/>
      <c r="E35" s="3"/>
      <c r="F35" s="10"/>
      <c r="G35" s="10"/>
    </row>
    <row r="36" spans="1:7" ht="18.75" x14ac:dyDescent="0.3">
      <c r="A36" s="3"/>
      <c r="B36" s="4"/>
      <c r="C36" s="3"/>
      <c r="D36" s="5"/>
      <c r="E36" s="3"/>
      <c r="F36" s="10"/>
      <c r="G36" s="10"/>
    </row>
    <row r="39" spans="1:7" ht="18.75" x14ac:dyDescent="0.3">
      <c r="A39" s="10"/>
      <c r="B39" s="10"/>
      <c r="C39" s="10"/>
      <c r="D39" s="10"/>
      <c r="E39" s="10"/>
      <c r="F39" s="10"/>
      <c r="G39" s="10"/>
    </row>
    <row r="40" spans="1:7" ht="18.75" x14ac:dyDescent="0.3">
      <c r="A40" s="35" t="s">
        <v>124</v>
      </c>
      <c r="B40" s="35" t="s">
        <v>1</v>
      </c>
      <c r="C40" s="35" t="s">
        <v>2</v>
      </c>
      <c r="D40" s="35" t="s">
        <v>3</v>
      </c>
      <c r="E40" s="35" t="s">
        <v>4</v>
      </c>
      <c r="F40" s="35" t="s">
        <v>5</v>
      </c>
      <c r="G40" s="35" t="s">
        <v>6</v>
      </c>
    </row>
    <row r="41" spans="1:7" ht="18.75" x14ac:dyDescent="0.3">
      <c r="A41" s="22" t="s">
        <v>138</v>
      </c>
      <c r="B41" s="22" t="s">
        <v>139</v>
      </c>
      <c r="C41" s="23" t="s">
        <v>71</v>
      </c>
      <c r="D41" s="24">
        <v>1344</v>
      </c>
      <c r="E41" s="22">
        <v>900</v>
      </c>
      <c r="F41" s="25" t="s">
        <v>140</v>
      </c>
      <c r="G41" s="26">
        <f>D41*E41</f>
        <v>1209600</v>
      </c>
    </row>
    <row r="42" spans="1:7" ht="18.75" x14ac:dyDescent="0.3">
      <c r="A42" s="1" t="s">
        <v>7</v>
      </c>
      <c r="B42" s="7">
        <v>5.4</v>
      </c>
      <c r="C42" s="8" t="s">
        <v>3</v>
      </c>
      <c r="D42" s="8" t="s">
        <v>8</v>
      </c>
      <c r="E42" s="9">
        <v>725760</v>
      </c>
      <c r="F42" s="10"/>
      <c r="G42" s="11">
        <v>483840</v>
      </c>
    </row>
    <row r="43" spans="1:7" ht="18.75" x14ac:dyDescent="0.3">
      <c r="A43" s="2" t="s">
        <v>49</v>
      </c>
      <c r="B43" s="12">
        <v>58</v>
      </c>
      <c r="C43" s="5">
        <v>672</v>
      </c>
      <c r="D43" s="52">
        <f>B43*C43</f>
        <v>38976</v>
      </c>
      <c r="E43" s="21">
        <v>0.6</v>
      </c>
      <c r="F43" s="10"/>
      <c r="G43" s="21">
        <v>0.4</v>
      </c>
    </row>
    <row r="44" spans="1:7" ht="18.75" x14ac:dyDescent="0.3">
      <c r="A44" s="2" t="s">
        <v>50</v>
      </c>
      <c r="B44" s="12">
        <v>86</v>
      </c>
      <c r="C44" s="3">
        <v>1344</v>
      </c>
      <c r="D44" s="52">
        <f t="shared" ref="D44:D52" si="1">B44*C44</f>
        <v>115584</v>
      </c>
      <c r="E44" s="10"/>
      <c r="F44" s="10"/>
      <c r="G44" s="10"/>
    </row>
    <row r="45" spans="1:7" ht="18.75" x14ac:dyDescent="0.3">
      <c r="A45" s="2" t="s">
        <v>46</v>
      </c>
      <c r="B45" s="12">
        <v>89</v>
      </c>
      <c r="C45" s="5">
        <v>1344</v>
      </c>
      <c r="D45" s="52">
        <f t="shared" si="1"/>
        <v>119616</v>
      </c>
      <c r="E45" s="10"/>
      <c r="F45" s="10"/>
      <c r="G45" s="10"/>
    </row>
    <row r="46" spans="1:7" ht="18.75" x14ac:dyDescent="0.3">
      <c r="A46" s="2" t="s">
        <v>24</v>
      </c>
      <c r="B46" s="12">
        <v>66</v>
      </c>
      <c r="C46" s="3">
        <v>1344</v>
      </c>
      <c r="D46" s="52">
        <f t="shared" si="1"/>
        <v>88704</v>
      </c>
      <c r="E46" s="10"/>
      <c r="F46" s="10"/>
      <c r="G46" s="14">
        <f>E42-D57-D58-D59-D60-D61-D62-D63-D64-D65-D66-D67-D68-D69-D70</f>
        <v>0</v>
      </c>
    </row>
    <row r="47" spans="1:7" ht="18.75" x14ac:dyDescent="0.3">
      <c r="A47" s="2" t="s">
        <v>51</v>
      </c>
      <c r="B47" s="12">
        <v>64</v>
      </c>
      <c r="C47" s="3">
        <v>1344</v>
      </c>
      <c r="D47" s="52">
        <f t="shared" si="1"/>
        <v>86016</v>
      </c>
      <c r="E47" s="10"/>
      <c r="F47" s="10"/>
      <c r="G47" s="10"/>
    </row>
    <row r="48" spans="1:7" ht="18.75" x14ac:dyDescent="0.3">
      <c r="A48" s="2" t="s">
        <v>52</v>
      </c>
      <c r="B48" s="12">
        <v>60</v>
      </c>
      <c r="C48" s="3">
        <v>1344</v>
      </c>
      <c r="D48" s="52">
        <f t="shared" si="1"/>
        <v>80640</v>
      </c>
      <c r="E48" s="10"/>
      <c r="F48" s="10"/>
      <c r="G48" s="10"/>
    </row>
    <row r="49" spans="1:7" ht="18.75" x14ac:dyDescent="0.3">
      <c r="A49" s="2" t="s">
        <v>53</v>
      </c>
      <c r="B49" s="12">
        <v>43</v>
      </c>
      <c r="C49" s="3">
        <v>1344</v>
      </c>
      <c r="D49" s="52">
        <f t="shared" si="1"/>
        <v>57792</v>
      </c>
      <c r="E49" s="10"/>
      <c r="F49" s="10"/>
      <c r="G49" s="10"/>
    </row>
    <row r="50" spans="1:7" ht="18.75" x14ac:dyDescent="0.3">
      <c r="A50" s="2" t="s">
        <v>41</v>
      </c>
      <c r="B50" s="12">
        <v>39</v>
      </c>
      <c r="C50" s="3">
        <v>1344</v>
      </c>
      <c r="D50" s="52">
        <f t="shared" si="1"/>
        <v>52416</v>
      </c>
      <c r="E50" s="10"/>
      <c r="F50" s="10"/>
      <c r="G50" s="10"/>
    </row>
    <row r="51" spans="1:7" ht="18.75" x14ac:dyDescent="0.3">
      <c r="A51" s="2" t="s">
        <v>163</v>
      </c>
      <c r="B51" s="12">
        <v>35</v>
      </c>
      <c r="C51" s="3">
        <v>1344</v>
      </c>
      <c r="D51" s="52">
        <f t="shared" si="1"/>
        <v>47040</v>
      </c>
      <c r="E51" s="10"/>
      <c r="F51" s="16"/>
      <c r="G51" s="16"/>
    </row>
    <row r="52" spans="1:7" ht="18.75" x14ac:dyDescent="0.3">
      <c r="A52" s="2"/>
      <c r="B52" s="15"/>
      <c r="C52" s="3"/>
      <c r="D52" s="13">
        <f t="shared" si="1"/>
        <v>0</v>
      </c>
      <c r="E52" s="10"/>
      <c r="F52" s="17"/>
      <c r="G52" s="17"/>
    </row>
    <row r="53" spans="1:7" ht="18.75" x14ac:dyDescent="0.3">
      <c r="A53" s="2"/>
      <c r="B53" s="12"/>
      <c r="C53" s="3"/>
      <c r="D53" s="13"/>
      <c r="E53" s="10"/>
      <c r="F53" s="10"/>
      <c r="G53" s="10"/>
    </row>
    <row r="54" spans="1:7" ht="18.75" x14ac:dyDescent="0.3">
      <c r="A54" s="2"/>
      <c r="B54" s="12"/>
      <c r="C54" s="3"/>
      <c r="D54" s="13"/>
      <c r="E54" s="10"/>
      <c r="F54" s="10"/>
      <c r="G54" s="10"/>
    </row>
    <row r="55" spans="1:7" ht="18.75" x14ac:dyDescent="0.3">
      <c r="A55" s="18"/>
      <c r="B55" s="19"/>
      <c r="C55" s="20"/>
      <c r="D55" s="13"/>
      <c r="E55" s="10"/>
      <c r="F55" s="10"/>
      <c r="G55" s="10"/>
    </row>
    <row r="56" spans="1:7" ht="18.75" x14ac:dyDescent="0.3">
      <c r="A56" s="1" t="s">
        <v>10</v>
      </c>
      <c r="B56" s="1" t="s">
        <v>11</v>
      </c>
      <c r="C56" s="1" t="s">
        <v>12</v>
      </c>
      <c r="D56" s="1" t="s">
        <v>13</v>
      </c>
      <c r="E56" s="1" t="s">
        <v>14</v>
      </c>
      <c r="F56" s="10"/>
      <c r="G56" s="10"/>
    </row>
    <row r="57" spans="1:7" ht="18.75" x14ac:dyDescent="0.3">
      <c r="A57" s="3" t="s">
        <v>15</v>
      </c>
      <c r="B57" s="4" t="s">
        <v>148</v>
      </c>
      <c r="C57" s="3">
        <v>672</v>
      </c>
      <c r="D57" s="51">
        <v>38976</v>
      </c>
      <c r="E57" s="3"/>
      <c r="F57" s="10"/>
      <c r="G57" s="10"/>
    </row>
    <row r="58" spans="1:7" ht="18.75" x14ac:dyDescent="0.3">
      <c r="A58" s="3" t="s">
        <v>113</v>
      </c>
      <c r="B58" s="4" t="s">
        <v>141</v>
      </c>
      <c r="C58" s="3">
        <v>672</v>
      </c>
      <c r="D58" s="51">
        <v>38976</v>
      </c>
      <c r="E58" s="5"/>
      <c r="F58" s="10"/>
      <c r="G58" s="10"/>
    </row>
    <row r="59" spans="1:7" ht="18.75" x14ac:dyDescent="0.3">
      <c r="A59" s="3" t="s">
        <v>17</v>
      </c>
      <c r="B59" s="4" t="s">
        <v>147</v>
      </c>
      <c r="C59" s="3">
        <v>1344</v>
      </c>
      <c r="D59" s="51">
        <v>86016</v>
      </c>
      <c r="E59" s="5"/>
      <c r="F59" s="10"/>
      <c r="G59" s="10"/>
    </row>
    <row r="60" spans="1:7" ht="18.75" x14ac:dyDescent="0.3">
      <c r="A60" s="3" t="s">
        <v>15</v>
      </c>
      <c r="B60" s="4" t="s">
        <v>149</v>
      </c>
      <c r="C60" s="5">
        <v>1334</v>
      </c>
      <c r="D60" s="51">
        <v>115584</v>
      </c>
      <c r="E60" s="3"/>
      <c r="F60" s="10"/>
      <c r="G60" s="10"/>
    </row>
    <row r="61" spans="1:7" ht="18.75" x14ac:dyDescent="0.3">
      <c r="A61" s="6" t="s">
        <v>16</v>
      </c>
      <c r="B61" s="4" t="s">
        <v>162</v>
      </c>
      <c r="C61" s="3">
        <v>1344</v>
      </c>
      <c r="D61" s="51">
        <v>119616</v>
      </c>
      <c r="E61" s="5"/>
      <c r="F61" s="10"/>
      <c r="G61" s="10"/>
    </row>
    <row r="62" spans="1:7" ht="18.75" x14ac:dyDescent="0.3">
      <c r="A62" s="3" t="s">
        <v>63</v>
      </c>
      <c r="B62" s="4" t="s">
        <v>41</v>
      </c>
      <c r="C62" s="3">
        <v>1344</v>
      </c>
      <c r="D62" s="51">
        <v>52416</v>
      </c>
      <c r="E62" s="5"/>
      <c r="F62" s="10"/>
      <c r="G62" s="10"/>
    </row>
    <row r="63" spans="1:7" ht="18.75" x14ac:dyDescent="0.3">
      <c r="A63" s="3" t="s">
        <v>59</v>
      </c>
      <c r="B63" s="4" t="s">
        <v>156</v>
      </c>
      <c r="C63" s="3">
        <v>1344</v>
      </c>
      <c r="D63" s="51">
        <v>80640</v>
      </c>
      <c r="E63" s="5"/>
      <c r="F63" s="10"/>
      <c r="G63" s="10"/>
    </row>
    <row r="64" spans="1:7" ht="18.75" x14ac:dyDescent="0.3">
      <c r="A64" s="3" t="s">
        <v>17</v>
      </c>
      <c r="B64" s="4" t="s">
        <v>155</v>
      </c>
      <c r="C64" s="3">
        <v>1344</v>
      </c>
      <c r="D64" s="51">
        <v>88704</v>
      </c>
      <c r="E64" s="3"/>
      <c r="F64" s="10"/>
      <c r="G64" s="10"/>
    </row>
    <row r="65" spans="1:7" ht="18.75" x14ac:dyDescent="0.3">
      <c r="A65" s="3" t="s">
        <v>104</v>
      </c>
      <c r="B65" s="4" t="s">
        <v>101</v>
      </c>
      <c r="C65" s="3">
        <v>1344</v>
      </c>
      <c r="D65" s="51">
        <v>57792</v>
      </c>
      <c r="E65" s="3"/>
      <c r="F65" s="10"/>
      <c r="G65" s="10"/>
    </row>
    <row r="66" spans="1:7" ht="18.75" x14ac:dyDescent="0.3">
      <c r="A66" s="3" t="s">
        <v>119</v>
      </c>
      <c r="B66" s="4" t="s">
        <v>163</v>
      </c>
      <c r="C66" s="3">
        <v>1344</v>
      </c>
      <c r="D66" s="51">
        <v>47040</v>
      </c>
      <c r="E66" s="3"/>
      <c r="F66" s="10"/>
      <c r="G66" s="10"/>
    </row>
    <row r="67" spans="1:7" ht="18.75" x14ac:dyDescent="0.3">
      <c r="A67" s="3"/>
      <c r="B67" s="4"/>
      <c r="C67" s="3"/>
      <c r="D67" s="5"/>
      <c r="E67" s="3"/>
      <c r="F67" s="10"/>
      <c r="G67" s="10"/>
    </row>
    <row r="68" spans="1:7" ht="18.75" x14ac:dyDescent="0.3">
      <c r="A68" s="3"/>
      <c r="B68" s="4"/>
      <c r="C68" s="5"/>
      <c r="D68" s="5"/>
      <c r="E68" s="3"/>
      <c r="F68" s="10"/>
      <c r="G68" s="10"/>
    </row>
    <row r="69" spans="1:7" ht="18.75" x14ac:dyDescent="0.3">
      <c r="A69" s="3"/>
      <c r="B69" s="4"/>
      <c r="C69" s="3"/>
      <c r="D69" s="5"/>
      <c r="E69" s="3"/>
      <c r="F69" s="10"/>
      <c r="G69" s="10"/>
    </row>
    <row r="70" spans="1:7" ht="18.75" x14ac:dyDescent="0.3">
      <c r="A70" s="3"/>
      <c r="B70" s="4"/>
      <c r="C70" s="3"/>
      <c r="D70" s="5"/>
      <c r="E70" s="3"/>
      <c r="F70" s="10"/>
      <c r="G70" s="10"/>
    </row>
    <row r="71" spans="1:7" ht="18.75" x14ac:dyDescent="0.3">
      <c r="A71" s="3"/>
      <c r="B71" s="4"/>
      <c r="C71" s="3"/>
      <c r="D71" s="5"/>
      <c r="E71" s="3"/>
      <c r="F71" s="10"/>
      <c r="G71" s="10"/>
    </row>
    <row r="72" spans="1:7" ht="18.75" x14ac:dyDescent="0.3">
      <c r="A72" s="3"/>
      <c r="B72" s="4"/>
      <c r="C72" s="3"/>
      <c r="D72" s="5"/>
      <c r="E72" s="3"/>
      <c r="F72" s="10"/>
      <c r="G72" s="10"/>
    </row>
    <row r="73" spans="1:7" ht="18.75" x14ac:dyDescent="0.3">
      <c r="A73" s="3"/>
      <c r="B73" s="4"/>
      <c r="C73" s="3"/>
      <c r="D73" s="5"/>
      <c r="E73" s="3"/>
      <c r="F73" s="10"/>
      <c r="G73" s="10"/>
    </row>
    <row r="76" spans="1:7" x14ac:dyDescent="0.25">
      <c r="B76" s="146" t="s">
        <v>203</v>
      </c>
      <c r="C76" s="146"/>
      <c r="D76" s="146"/>
    </row>
    <row r="77" spans="1:7" x14ac:dyDescent="0.25">
      <c r="B77" s="146"/>
      <c r="C77" s="146"/>
      <c r="D77" s="146"/>
    </row>
    <row r="78" spans="1:7" ht="18.75" x14ac:dyDescent="0.3">
      <c r="A78" s="10"/>
      <c r="B78" s="10"/>
      <c r="C78" s="10"/>
      <c r="D78" s="10"/>
      <c r="E78" s="10"/>
      <c r="F78" s="10"/>
      <c r="G78" s="10"/>
    </row>
    <row r="79" spans="1:7" ht="18.75" x14ac:dyDescent="0.3">
      <c r="A79" s="35" t="s">
        <v>124</v>
      </c>
      <c r="B79" s="35" t="s">
        <v>1</v>
      </c>
      <c r="C79" s="35" t="s">
        <v>2</v>
      </c>
      <c r="D79" s="35" t="s">
        <v>3</v>
      </c>
      <c r="E79" s="35" t="s">
        <v>4</v>
      </c>
      <c r="F79" s="35" t="s">
        <v>5</v>
      </c>
      <c r="G79" s="35" t="s">
        <v>6</v>
      </c>
    </row>
    <row r="80" spans="1:7" ht="18.75" x14ac:dyDescent="0.3">
      <c r="A80" s="22" t="s">
        <v>171</v>
      </c>
      <c r="B80" s="22" t="s">
        <v>139</v>
      </c>
      <c r="C80" s="23" t="s">
        <v>168</v>
      </c>
      <c r="D80" s="24">
        <v>2016</v>
      </c>
      <c r="E80" s="22">
        <v>900</v>
      </c>
      <c r="F80" s="25" t="s">
        <v>169</v>
      </c>
      <c r="G80" s="26">
        <v>1814400</v>
      </c>
    </row>
    <row r="81" spans="1:7" ht="18.75" x14ac:dyDescent="0.3">
      <c r="A81" s="1" t="s">
        <v>7</v>
      </c>
      <c r="B81" s="21">
        <v>5.4</v>
      </c>
      <c r="C81" s="45" t="s">
        <v>3</v>
      </c>
      <c r="D81" s="45" t="s">
        <v>8</v>
      </c>
      <c r="E81" s="46">
        <v>1088640</v>
      </c>
      <c r="F81" s="10"/>
      <c r="G81" s="11">
        <v>725760</v>
      </c>
    </row>
    <row r="82" spans="1:7" ht="18.75" x14ac:dyDescent="0.3">
      <c r="A82" s="2" t="s">
        <v>49</v>
      </c>
      <c r="B82" s="12">
        <v>58</v>
      </c>
      <c r="C82" s="5">
        <v>2016</v>
      </c>
      <c r="D82" s="50">
        <f>B82*C82</f>
        <v>116928</v>
      </c>
      <c r="E82" s="21">
        <v>0.6</v>
      </c>
      <c r="F82" s="10"/>
      <c r="G82" s="21">
        <v>0.4</v>
      </c>
    </row>
    <row r="83" spans="1:7" ht="18.75" x14ac:dyDescent="0.3">
      <c r="A83" s="2" t="s">
        <v>50</v>
      </c>
      <c r="B83" s="12">
        <v>86</v>
      </c>
      <c r="C83" s="3">
        <v>2016</v>
      </c>
      <c r="D83" s="50">
        <f t="shared" ref="D83:D92" si="2">B83*C83</f>
        <v>173376</v>
      </c>
      <c r="E83" s="10"/>
      <c r="F83" s="10"/>
      <c r="G83" s="10"/>
    </row>
    <row r="84" spans="1:7" ht="18.75" x14ac:dyDescent="0.3">
      <c r="A84" s="2" t="s">
        <v>46</v>
      </c>
      <c r="B84" s="12">
        <v>89</v>
      </c>
      <c r="C84" s="5">
        <v>1008</v>
      </c>
      <c r="D84" s="50">
        <f t="shared" si="2"/>
        <v>89712</v>
      </c>
      <c r="E84" s="10"/>
      <c r="F84" s="10"/>
      <c r="G84" s="10"/>
    </row>
    <row r="85" spans="1:7" ht="18.75" x14ac:dyDescent="0.3">
      <c r="A85" s="2" t="s">
        <v>24</v>
      </c>
      <c r="B85" s="12">
        <v>66</v>
      </c>
      <c r="C85" s="3">
        <v>2016</v>
      </c>
      <c r="D85" s="50">
        <f t="shared" si="2"/>
        <v>133056</v>
      </c>
      <c r="E85" s="10"/>
      <c r="F85" s="10"/>
      <c r="G85" s="14">
        <f>E81-D96-D97-D98-D99-D100-D101-D102-D103-D104-D105-D106-D107-D108-D109</f>
        <v>0</v>
      </c>
    </row>
    <row r="86" spans="1:7" ht="18.75" x14ac:dyDescent="0.3">
      <c r="A86" s="2" t="s">
        <v>51</v>
      </c>
      <c r="B86" s="12">
        <v>64</v>
      </c>
      <c r="C86" s="3">
        <v>2016</v>
      </c>
      <c r="D86" s="50">
        <f t="shared" si="2"/>
        <v>129024</v>
      </c>
      <c r="E86" s="10"/>
      <c r="F86" s="10"/>
      <c r="G86" s="10"/>
    </row>
    <row r="87" spans="1:7" ht="18.75" x14ac:dyDescent="0.3">
      <c r="A87" s="2" t="s">
        <v>52</v>
      </c>
      <c r="B87" s="12">
        <v>60</v>
      </c>
      <c r="C87" s="3">
        <v>1008</v>
      </c>
      <c r="D87" s="50">
        <f t="shared" si="2"/>
        <v>60480</v>
      </c>
      <c r="E87" s="10"/>
      <c r="F87" s="10"/>
      <c r="G87" s="10"/>
    </row>
    <row r="88" spans="1:7" ht="18.75" x14ac:dyDescent="0.3">
      <c r="A88" s="2" t="s">
        <v>53</v>
      </c>
      <c r="B88" s="12">
        <v>43</v>
      </c>
      <c r="C88" s="3">
        <v>2016</v>
      </c>
      <c r="D88" s="50">
        <f t="shared" si="2"/>
        <v>86688</v>
      </c>
      <c r="E88" s="10"/>
      <c r="F88" s="10"/>
      <c r="G88" s="10"/>
    </row>
    <row r="89" spans="1:7" ht="18.75" x14ac:dyDescent="0.3">
      <c r="A89" s="2" t="s">
        <v>41</v>
      </c>
      <c r="B89" s="12">
        <v>64</v>
      </c>
      <c r="C89" s="3">
        <v>2016</v>
      </c>
      <c r="D89" s="50">
        <f t="shared" si="2"/>
        <v>129024</v>
      </c>
      <c r="E89" s="10"/>
      <c r="F89" s="10"/>
      <c r="G89" s="10"/>
    </row>
    <row r="90" spans="1:7" ht="18.75" x14ac:dyDescent="0.3">
      <c r="A90" s="2" t="s">
        <v>163</v>
      </c>
      <c r="B90" s="12">
        <v>10</v>
      </c>
      <c r="C90" s="3">
        <v>2016</v>
      </c>
      <c r="D90" s="50">
        <f t="shared" si="2"/>
        <v>20160</v>
      </c>
      <c r="E90" s="10"/>
      <c r="F90" s="16"/>
      <c r="G90" s="16"/>
    </row>
    <row r="91" spans="1:7" ht="18.75" x14ac:dyDescent="0.3">
      <c r="A91" s="2"/>
      <c r="B91" s="15"/>
      <c r="C91" s="3"/>
      <c r="D91" s="50">
        <f t="shared" si="2"/>
        <v>0</v>
      </c>
      <c r="E91" s="10"/>
      <c r="F91" s="17"/>
      <c r="G91" s="17"/>
    </row>
    <row r="92" spans="1:7" ht="18.75" x14ac:dyDescent="0.3">
      <c r="A92" s="2"/>
      <c r="B92" s="12"/>
      <c r="C92" s="3"/>
      <c r="D92" s="50">
        <f t="shared" si="2"/>
        <v>0</v>
      </c>
      <c r="E92" s="10"/>
      <c r="F92" s="10"/>
      <c r="G92" s="10"/>
    </row>
    <row r="93" spans="1:7" ht="18.75" x14ac:dyDescent="0.3">
      <c r="A93" s="2"/>
      <c r="B93" s="12"/>
      <c r="C93" s="3"/>
      <c r="D93" s="13"/>
      <c r="E93" s="10"/>
      <c r="F93" s="10"/>
      <c r="G93" s="10"/>
    </row>
    <row r="94" spans="1:7" ht="18.75" x14ac:dyDescent="0.3">
      <c r="A94" s="18"/>
      <c r="B94" s="19"/>
      <c r="C94" s="20"/>
      <c r="D94" s="13"/>
      <c r="E94" s="10"/>
      <c r="F94" s="10"/>
      <c r="G94" s="10"/>
    </row>
    <row r="95" spans="1:7" ht="18.75" x14ac:dyDescent="0.3">
      <c r="A95" s="1" t="s">
        <v>10</v>
      </c>
      <c r="B95" s="1" t="s">
        <v>11</v>
      </c>
      <c r="C95" s="1" t="s">
        <v>12</v>
      </c>
      <c r="D95" s="1" t="s">
        <v>13</v>
      </c>
      <c r="E95" s="1" t="s">
        <v>14</v>
      </c>
      <c r="F95" s="10"/>
      <c r="G95" s="10"/>
    </row>
    <row r="96" spans="1:7" ht="18.75" x14ac:dyDescent="0.3">
      <c r="A96" s="3" t="s">
        <v>104</v>
      </c>
      <c r="B96" s="4" t="s">
        <v>174</v>
      </c>
      <c r="C96" s="3">
        <v>2016</v>
      </c>
      <c r="D96" s="49">
        <v>116928</v>
      </c>
      <c r="E96" s="3"/>
      <c r="F96" s="10"/>
      <c r="G96" s="10"/>
    </row>
    <row r="97" spans="1:7" ht="18.75" x14ac:dyDescent="0.3">
      <c r="A97" s="3" t="s">
        <v>15</v>
      </c>
      <c r="B97" s="4" t="s">
        <v>78</v>
      </c>
      <c r="C97" s="3">
        <v>2016</v>
      </c>
      <c r="D97" s="49">
        <v>173376</v>
      </c>
      <c r="E97" s="5"/>
      <c r="F97" s="10"/>
      <c r="G97" s="10"/>
    </row>
    <row r="98" spans="1:7" ht="18.75" x14ac:dyDescent="0.3">
      <c r="A98" s="3" t="s">
        <v>59</v>
      </c>
      <c r="B98" s="4" t="s">
        <v>156</v>
      </c>
      <c r="C98" s="3">
        <v>2016</v>
      </c>
      <c r="D98" s="49">
        <v>60480</v>
      </c>
      <c r="E98" s="5"/>
      <c r="F98" s="10"/>
      <c r="G98" s="10"/>
    </row>
    <row r="99" spans="1:7" ht="18.75" x14ac:dyDescent="0.3">
      <c r="A99" s="3" t="s">
        <v>175</v>
      </c>
      <c r="B99" s="4" t="s">
        <v>70</v>
      </c>
      <c r="C99" s="5">
        <v>2016</v>
      </c>
      <c r="D99" s="49">
        <v>129024</v>
      </c>
      <c r="E99" s="3"/>
      <c r="F99" s="10"/>
      <c r="G99" s="10"/>
    </row>
    <row r="100" spans="1:7" ht="18.75" x14ac:dyDescent="0.3">
      <c r="A100" s="6" t="s">
        <v>175</v>
      </c>
      <c r="B100" s="4" t="s">
        <v>75</v>
      </c>
      <c r="C100" s="3">
        <v>2016</v>
      </c>
      <c r="D100" s="49">
        <v>133056</v>
      </c>
      <c r="E100" s="5"/>
      <c r="F100" s="10"/>
      <c r="G100" s="10"/>
    </row>
    <row r="101" spans="1:7" ht="18.75" x14ac:dyDescent="0.3">
      <c r="A101" s="3" t="s">
        <v>119</v>
      </c>
      <c r="B101" s="4" t="s">
        <v>163</v>
      </c>
      <c r="C101" s="3">
        <v>2016</v>
      </c>
      <c r="D101" s="49">
        <v>20160</v>
      </c>
      <c r="E101" s="5"/>
      <c r="F101" s="10"/>
      <c r="G101" s="10"/>
    </row>
    <row r="102" spans="1:7" ht="18.75" x14ac:dyDescent="0.3">
      <c r="A102" s="3" t="s">
        <v>63</v>
      </c>
      <c r="B102" s="4" t="s">
        <v>67</v>
      </c>
      <c r="C102" s="3">
        <v>2016</v>
      </c>
      <c r="D102" s="49">
        <v>129024</v>
      </c>
      <c r="E102" s="5"/>
      <c r="F102" s="10"/>
      <c r="G102" s="10"/>
    </row>
    <row r="103" spans="1:7" ht="18.75" x14ac:dyDescent="0.3">
      <c r="A103" s="3" t="s">
        <v>104</v>
      </c>
      <c r="B103" s="4" t="s">
        <v>101</v>
      </c>
      <c r="C103" s="3">
        <v>2016</v>
      </c>
      <c r="D103" s="49">
        <v>86688</v>
      </c>
      <c r="E103" s="3"/>
      <c r="F103" s="10"/>
      <c r="G103" s="10"/>
    </row>
    <row r="104" spans="1:7" ht="18.75" x14ac:dyDescent="0.3">
      <c r="A104" s="3" t="s">
        <v>104</v>
      </c>
      <c r="B104" s="4" t="s">
        <v>194</v>
      </c>
      <c r="C104" s="3">
        <v>1008</v>
      </c>
      <c r="D104" s="49">
        <v>89712</v>
      </c>
      <c r="E104" s="3"/>
      <c r="F104" s="10"/>
      <c r="G104" s="10"/>
    </row>
    <row r="105" spans="1:7" ht="18.75" x14ac:dyDescent="0.3">
      <c r="A105" s="3" t="s">
        <v>16</v>
      </c>
      <c r="B105" s="4" t="s">
        <v>195</v>
      </c>
      <c r="C105" s="3">
        <v>1008</v>
      </c>
      <c r="D105" s="49">
        <v>89712</v>
      </c>
      <c r="E105" s="3"/>
      <c r="F105" s="10"/>
      <c r="G105" s="10"/>
    </row>
    <row r="106" spans="1:7" ht="18.75" x14ac:dyDescent="0.3">
      <c r="A106" s="3" t="s">
        <v>123</v>
      </c>
      <c r="B106" s="4" t="s">
        <v>196</v>
      </c>
      <c r="C106" s="3">
        <v>10008</v>
      </c>
      <c r="D106" s="49">
        <v>60480</v>
      </c>
      <c r="E106" s="3"/>
      <c r="F106" s="10"/>
      <c r="G106" s="10"/>
    </row>
    <row r="107" spans="1:7" ht="18.75" x14ac:dyDescent="0.3">
      <c r="A107" s="3"/>
      <c r="B107" s="4"/>
      <c r="C107" s="5"/>
      <c r="D107" s="5"/>
      <c r="E107" s="3"/>
      <c r="F107" s="10"/>
      <c r="G107" s="10"/>
    </row>
    <row r="108" spans="1:7" ht="18.75" x14ac:dyDescent="0.3">
      <c r="A108" s="3"/>
      <c r="B108" s="4"/>
      <c r="C108" s="3"/>
      <c r="D108" s="5"/>
      <c r="E108" s="3"/>
      <c r="F108" s="10"/>
      <c r="G108" s="10"/>
    </row>
    <row r="109" spans="1:7" ht="18.75" x14ac:dyDescent="0.3">
      <c r="A109" s="3"/>
      <c r="B109" s="4"/>
      <c r="C109" s="3"/>
      <c r="D109" s="5"/>
      <c r="E109" s="3"/>
      <c r="F109" s="10"/>
      <c r="G109" s="10"/>
    </row>
    <row r="110" spans="1:7" ht="18.75" x14ac:dyDescent="0.3">
      <c r="A110" s="3"/>
      <c r="B110" s="4"/>
      <c r="C110" s="3"/>
      <c r="D110" s="5"/>
      <c r="E110" s="3"/>
      <c r="F110" s="10"/>
      <c r="G110" s="10"/>
    </row>
    <row r="111" spans="1:7" ht="18.75" x14ac:dyDescent="0.3">
      <c r="A111" s="3"/>
      <c r="B111" s="4"/>
      <c r="C111" s="3"/>
      <c r="D111" s="5"/>
      <c r="E111" s="3"/>
      <c r="F111" s="10"/>
      <c r="G111" s="10"/>
    </row>
    <row r="112" spans="1:7" ht="18.75" x14ac:dyDescent="0.3">
      <c r="A112" s="3"/>
      <c r="B112" s="4"/>
      <c r="C112" s="3"/>
      <c r="D112" s="5"/>
      <c r="E112" s="3"/>
      <c r="F112" s="10"/>
      <c r="G112" s="10"/>
    </row>
    <row r="115" spans="1:7" ht="18.75" x14ac:dyDescent="0.3">
      <c r="A115" s="35" t="s">
        <v>124</v>
      </c>
      <c r="B115" s="35" t="s">
        <v>1</v>
      </c>
      <c r="C115" s="35" t="s">
        <v>2</v>
      </c>
      <c r="D115" s="35" t="s">
        <v>3</v>
      </c>
      <c r="E115" s="35" t="s">
        <v>4</v>
      </c>
      <c r="F115" s="35" t="s">
        <v>5</v>
      </c>
      <c r="G115" s="35" t="s">
        <v>6</v>
      </c>
    </row>
    <row r="116" spans="1:7" ht="18.75" x14ac:dyDescent="0.3">
      <c r="A116" s="22" t="s">
        <v>233</v>
      </c>
      <c r="B116" s="22" t="s">
        <v>139</v>
      </c>
      <c r="C116" s="23" t="s">
        <v>47</v>
      </c>
      <c r="D116" s="24">
        <v>2016</v>
      </c>
      <c r="E116" s="22">
        <v>900</v>
      </c>
      <c r="F116" s="25" t="s">
        <v>151</v>
      </c>
      <c r="G116" s="26">
        <v>1814400</v>
      </c>
    </row>
    <row r="117" spans="1:7" ht="18.75" x14ac:dyDescent="0.3">
      <c r="A117" s="1" t="s">
        <v>7</v>
      </c>
      <c r="B117" s="21">
        <v>5.4</v>
      </c>
      <c r="C117" s="45" t="s">
        <v>3</v>
      </c>
      <c r="D117" s="45" t="s">
        <v>8</v>
      </c>
      <c r="E117" s="46">
        <v>1088640</v>
      </c>
      <c r="F117" s="10"/>
      <c r="G117" s="11">
        <v>725760</v>
      </c>
    </row>
    <row r="118" spans="1:7" ht="18.75" x14ac:dyDescent="0.3">
      <c r="A118" s="2" t="s">
        <v>49</v>
      </c>
      <c r="B118" s="12">
        <v>58</v>
      </c>
      <c r="C118" s="5">
        <v>2016</v>
      </c>
      <c r="D118" s="50">
        <f>B118*C118</f>
        <v>116928</v>
      </c>
      <c r="E118" s="21">
        <v>0.6</v>
      </c>
      <c r="F118" s="10"/>
      <c r="G118" s="21">
        <v>0.4</v>
      </c>
    </row>
    <row r="119" spans="1:7" ht="18.75" x14ac:dyDescent="0.3">
      <c r="A119" s="2" t="s">
        <v>50</v>
      </c>
      <c r="B119" s="12">
        <v>86</v>
      </c>
      <c r="C119" s="3">
        <v>1008</v>
      </c>
      <c r="D119" s="50">
        <f t="shared" ref="D119:D126" si="3">B119*C119</f>
        <v>86688</v>
      </c>
      <c r="E119" s="10"/>
      <c r="F119" s="10"/>
      <c r="G119" s="10"/>
    </row>
    <row r="120" spans="1:7" ht="18.75" x14ac:dyDescent="0.3">
      <c r="A120" s="2" t="s">
        <v>46</v>
      </c>
      <c r="B120" s="12">
        <v>89</v>
      </c>
      <c r="C120" s="5">
        <v>672</v>
      </c>
      <c r="D120" s="50">
        <f t="shared" si="3"/>
        <v>59808</v>
      </c>
      <c r="E120" s="10"/>
      <c r="F120" s="10"/>
      <c r="G120" s="10"/>
    </row>
    <row r="121" spans="1:7" ht="18.75" x14ac:dyDescent="0.3">
      <c r="A121" s="2" t="s">
        <v>24</v>
      </c>
      <c r="B121" s="12">
        <v>66</v>
      </c>
      <c r="C121" s="3">
        <v>2016</v>
      </c>
      <c r="D121" s="50">
        <f t="shared" si="3"/>
        <v>133056</v>
      </c>
      <c r="E121" s="10"/>
      <c r="F121" s="10"/>
      <c r="G121" s="14">
        <f>E117-D132-D133-D134-D135-D136-D137-D138-D139-D140-D141-D142-D143-D144-D145-D146-D147-D148</f>
        <v>0</v>
      </c>
    </row>
    <row r="122" spans="1:7" ht="18.75" x14ac:dyDescent="0.3">
      <c r="A122" s="2" t="s">
        <v>51</v>
      </c>
      <c r="B122" s="12">
        <v>64</v>
      </c>
      <c r="C122" s="3">
        <v>2016</v>
      </c>
      <c r="D122" s="50">
        <f t="shared" si="3"/>
        <v>129024</v>
      </c>
      <c r="E122" s="10"/>
      <c r="F122" s="10"/>
      <c r="G122" s="10"/>
    </row>
    <row r="123" spans="1:7" ht="18.75" x14ac:dyDescent="0.3">
      <c r="A123" s="2" t="s">
        <v>52</v>
      </c>
      <c r="B123" s="12">
        <v>60</v>
      </c>
      <c r="C123" s="3">
        <v>336</v>
      </c>
      <c r="D123" s="50">
        <f t="shared" si="3"/>
        <v>20160</v>
      </c>
      <c r="E123" s="10"/>
      <c r="F123" s="10"/>
      <c r="G123" s="10"/>
    </row>
    <row r="124" spans="1:7" ht="18.75" x14ac:dyDescent="0.3">
      <c r="A124" s="2" t="s">
        <v>53</v>
      </c>
      <c r="B124" s="12">
        <v>43</v>
      </c>
      <c r="C124" s="3">
        <v>2016</v>
      </c>
      <c r="D124" s="50">
        <f t="shared" si="3"/>
        <v>86688</v>
      </c>
      <c r="E124" s="10"/>
      <c r="F124" s="10"/>
      <c r="G124" s="10"/>
    </row>
    <row r="125" spans="1:7" ht="18.75" x14ac:dyDescent="0.3">
      <c r="A125" s="2" t="s">
        <v>41</v>
      </c>
      <c r="B125" s="12">
        <v>59</v>
      </c>
      <c r="C125" s="3">
        <v>2016</v>
      </c>
      <c r="D125" s="50">
        <f t="shared" si="3"/>
        <v>118944</v>
      </c>
      <c r="E125" s="10"/>
      <c r="F125" s="10"/>
      <c r="G125" s="10"/>
    </row>
    <row r="126" spans="1:7" ht="18.75" x14ac:dyDescent="0.3">
      <c r="A126" s="2" t="s">
        <v>163</v>
      </c>
      <c r="B126" s="12">
        <v>15</v>
      </c>
      <c r="C126" s="3">
        <v>2016</v>
      </c>
      <c r="D126" s="50">
        <f t="shared" si="3"/>
        <v>30240</v>
      </c>
      <c r="E126" s="10"/>
      <c r="F126" s="16"/>
      <c r="G126" s="16"/>
    </row>
    <row r="127" spans="1:7" ht="18.75" x14ac:dyDescent="0.3">
      <c r="A127" s="2"/>
      <c r="B127" s="15"/>
      <c r="C127" s="3"/>
      <c r="D127" s="50"/>
      <c r="E127" s="10"/>
      <c r="F127" s="17"/>
      <c r="G127" s="17"/>
    </row>
    <row r="128" spans="1:7" ht="18.75" x14ac:dyDescent="0.3">
      <c r="A128" s="2"/>
      <c r="B128" s="12"/>
      <c r="C128" s="3"/>
      <c r="D128" s="50"/>
      <c r="E128" s="10"/>
      <c r="F128" s="10"/>
      <c r="G128" s="10"/>
    </row>
    <row r="129" spans="1:7" ht="18.75" x14ac:dyDescent="0.3">
      <c r="A129" s="2"/>
      <c r="B129" s="12"/>
      <c r="C129" s="3"/>
      <c r="D129" s="13"/>
      <c r="E129" s="10"/>
      <c r="F129" s="10"/>
      <c r="G129" s="10"/>
    </row>
    <row r="130" spans="1:7" ht="18.75" x14ac:dyDescent="0.3">
      <c r="A130" s="18"/>
      <c r="B130" s="19"/>
      <c r="C130" s="20"/>
      <c r="D130" s="13"/>
      <c r="E130" s="10"/>
      <c r="F130" s="10"/>
      <c r="G130" s="10"/>
    </row>
    <row r="131" spans="1:7" ht="18.75" x14ac:dyDescent="0.3">
      <c r="A131" s="1" t="s">
        <v>10</v>
      </c>
      <c r="B131" s="1" t="s">
        <v>11</v>
      </c>
      <c r="C131" s="1" t="s">
        <v>12</v>
      </c>
      <c r="D131" s="1" t="s">
        <v>13</v>
      </c>
      <c r="E131" s="1" t="s">
        <v>14</v>
      </c>
      <c r="F131" s="10"/>
      <c r="G131" s="10"/>
    </row>
    <row r="132" spans="1:7" ht="18.75" x14ac:dyDescent="0.3">
      <c r="A132" s="3" t="s">
        <v>104</v>
      </c>
      <c r="B132" s="4" t="s">
        <v>234</v>
      </c>
      <c r="C132" s="3">
        <v>2016</v>
      </c>
      <c r="D132" s="63">
        <v>116928</v>
      </c>
      <c r="E132" s="3"/>
      <c r="F132" s="10"/>
      <c r="G132" s="10"/>
    </row>
    <row r="133" spans="1:7" ht="18.75" x14ac:dyDescent="0.3">
      <c r="A133" s="3" t="s">
        <v>15</v>
      </c>
      <c r="B133" s="4" t="s">
        <v>242</v>
      </c>
      <c r="C133" s="3">
        <v>1008</v>
      </c>
      <c r="D133" s="63">
        <v>86688</v>
      </c>
      <c r="E133" s="5"/>
      <c r="F133" s="10"/>
      <c r="G133" s="10"/>
    </row>
    <row r="134" spans="1:7" ht="18.75" x14ac:dyDescent="0.3">
      <c r="A134" s="3" t="s">
        <v>59</v>
      </c>
      <c r="B134" s="4" t="s">
        <v>255</v>
      </c>
      <c r="C134" s="3">
        <v>336</v>
      </c>
      <c r="D134" s="63">
        <v>20160</v>
      </c>
      <c r="E134" s="5"/>
      <c r="F134" s="10"/>
      <c r="G134" s="10"/>
    </row>
    <row r="135" spans="1:7" ht="18.75" x14ac:dyDescent="0.3">
      <c r="A135" s="3" t="s">
        <v>175</v>
      </c>
      <c r="B135" s="4" t="s">
        <v>240</v>
      </c>
      <c r="C135" s="5">
        <v>2016</v>
      </c>
      <c r="D135" s="63">
        <v>129024</v>
      </c>
      <c r="E135" s="3"/>
      <c r="F135" s="10"/>
      <c r="G135" s="10"/>
    </row>
    <row r="136" spans="1:7" ht="18.75" x14ac:dyDescent="0.3">
      <c r="A136" s="6" t="s">
        <v>175</v>
      </c>
      <c r="B136" s="4" t="s">
        <v>261</v>
      </c>
      <c r="C136" s="3">
        <v>2016</v>
      </c>
      <c r="D136" s="63">
        <v>133056</v>
      </c>
      <c r="E136" s="5"/>
      <c r="F136" s="10"/>
      <c r="G136" s="10"/>
    </row>
    <row r="137" spans="1:7" ht="18.75" x14ac:dyDescent="0.3">
      <c r="A137" s="3" t="s">
        <v>119</v>
      </c>
      <c r="B137" s="4" t="s">
        <v>163</v>
      </c>
      <c r="C137" s="3">
        <v>2016</v>
      </c>
      <c r="D137" s="63">
        <v>30240</v>
      </c>
      <c r="E137" s="5"/>
      <c r="F137" s="10"/>
      <c r="G137" s="10"/>
    </row>
    <row r="138" spans="1:7" ht="18.75" x14ac:dyDescent="0.3">
      <c r="A138" s="3" t="s">
        <v>63</v>
      </c>
      <c r="B138" s="4" t="s">
        <v>41</v>
      </c>
      <c r="C138" s="3">
        <v>2016</v>
      </c>
      <c r="D138" s="63">
        <v>118944</v>
      </c>
      <c r="E138" s="5"/>
      <c r="F138" s="10"/>
      <c r="G138" s="10"/>
    </row>
    <row r="139" spans="1:7" ht="18.75" x14ac:dyDescent="0.3">
      <c r="A139" s="3" t="s">
        <v>42</v>
      </c>
      <c r="B139" s="4" t="s">
        <v>253</v>
      </c>
      <c r="C139" s="3">
        <v>1008</v>
      </c>
      <c r="D139" s="63">
        <v>89712</v>
      </c>
      <c r="E139" s="3"/>
      <c r="F139" s="10"/>
      <c r="G139" s="10"/>
    </row>
    <row r="140" spans="1:7" ht="18.75" x14ac:dyDescent="0.3">
      <c r="A140" s="3" t="s">
        <v>16</v>
      </c>
      <c r="B140" s="4" t="s">
        <v>254</v>
      </c>
      <c r="C140" s="3">
        <v>336</v>
      </c>
      <c r="D140" s="63">
        <v>29904</v>
      </c>
      <c r="E140" s="3"/>
      <c r="F140" s="10"/>
      <c r="G140" s="10"/>
    </row>
    <row r="141" spans="1:7" ht="18.75" x14ac:dyDescent="0.3">
      <c r="A141" s="3" t="s">
        <v>16</v>
      </c>
      <c r="B141" s="4" t="s">
        <v>269</v>
      </c>
      <c r="C141" s="3">
        <v>1008</v>
      </c>
      <c r="D141" s="63">
        <v>86688</v>
      </c>
      <c r="E141" s="3"/>
      <c r="F141" s="10"/>
      <c r="G141" s="10"/>
    </row>
    <row r="142" spans="1:7" ht="18.75" x14ac:dyDescent="0.3">
      <c r="A142" s="3" t="s">
        <v>29</v>
      </c>
      <c r="B142" s="4" t="s">
        <v>262</v>
      </c>
      <c r="C142" s="3">
        <v>336</v>
      </c>
      <c r="D142" s="63">
        <v>20160</v>
      </c>
      <c r="E142" s="3"/>
      <c r="F142" s="10"/>
      <c r="G142" s="10"/>
    </row>
    <row r="143" spans="1:7" ht="18.75" x14ac:dyDescent="0.3">
      <c r="A143" s="3" t="s">
        <v>16</v>
      </c>
      <c r="B143" s="4" t="s">
        <v>244</v>
      </c>
      <c r="C143" s="5">
        <v>672</v>
      </c>
      <c r="D143" s="63">
        <v>59808</v>
      </c>
      <c r="E143" s="3"/>
      <c r="F143" s="10"/>
      <c r="G143" s="10"/>
    </row>
    <row r="144" spans="1:7" ht="18.75" x14ac:dyDescent="0.3">
      <c r="A144" s="3" t="s">
        <v>29</v>
      </c>
      <c r="B144" s="4" t="s">
        <v>263</v>
      </c>
      <c r="C144" s="3">
        <v>336</v>
      </c>
      <c r="D144" s="63">
        <v>20160</v>
      </c>
      <c r="E144" s="3"/>
      <c r="F144" s="10"/>
      <c r="G144" s="10"/>
    </row>
    <row r="145" spans="1:7" ht="18.75" x14ac:dyDescent="0.3">
      <c r="A145" s="3" t="s">
        <v>59</v>
      </c>
      <c r="B145" s="4" t="s">
        <v>264</v>
      </c>
      <c r="C145" s="3">
        <v>336</v>
      </c>
      <c r="D145" s="63">
        <v>20160</v>
      </c>
      <c r="E145" s="3"/>
      <c r="F145" s="10"/>
      <c r="G145" s="10"/>
    </row>
    <row r="146" spans="1:7" ht="18.75" x14ac:dyDescent="0.3">
      <c r="A146" s="3" t="s">
        <v>104</v>
      </c>
      <c r="B146" s="4" t="s">
        <v>265</v>
      </c>
      <c r="C146" s="3">
        <v>2016</v>
      </c>
      <c r="D146" s="63">
        <v>86688</v>
      </c>
      <c r="E146" s="3"/>
      <c r="F146" s="10"/>
      <c r="G146" s="10"/>
    </row>
    <row r="147" spans="1:7" ht="18.75" x14ac:dyDescent="0.3">
      <c r="A147" s="3" t="s">
        <v>266</v>
      </c>
      <c r="B147" s="4" t="s">
        <v>267</v>
      </c>
      <c r="C147" s="3">
        <v>336</v>
      </c>
      <c r="D147" s="63">
        <v>20160</v>
      </c>
      <c r="E147" s="3"/>
      <c r="F147" s="10"/>
      <c r="G147" s="10"/>
    </row>
    <row r="148" spans="1:7" ht="18.75" x14ac:dyDescent="0.3">
      <c r="A148" s="3" t="s">
        <v>252</v>
      </c>
      <c r="B148" s="4" t="s">
        <v>268</v>
      </c>
      <c r="C148" s="3">
        <v>336</v>
      </c>
      <c r="D148" s="63">
        <v>20160</v>
      </c>
      <c r="E148" s="3"/>
      <c r="F148" s="10"/>
      <c r="G148" s="10"/>
    </row>
    <row r="152" spans="1:7" x14ac:dyDescent="0.25">
      <c r="B152" s="146" t="s">
        <v>203</v>
      </c>
      <c r="C152" s="146"/>
      <c r="D152" s="146"/>
    </row>
    <row r="153" spans="1:7" x14ac:dyDescent="0.25">
      <c r="B153" s="146"/>
      <c r="C153" s="146"/>
      <c r="D153" s="146"/>
    </row>
    <row r="156" spans="1:7" ht="18.75" x14ac:dyDescent="0.3">
      <c r="A156" s="35" t="s">
        <v>124</v>
      </c>
      <c r="B156" s="35" t="s">
        <v>1</v>
      </c>
      <c r="C156" s="35" t="s">
        <v>2</v>
      </c>
      <c r="D156" s="35" t="s">
        <v>3</v>
      </c>
      <c r="E156" s="35" t="s">
        <v>4</v>
      </c>
      <c r="F156" s="35" t="s">
        <v>5</v>
      </c>
      <c r="G156" s="35" t="s">
        <v>6</v>
      </c>
    </row>
    <row r="157" spans="1:7" ht="18.75" x14ac:dyDescent="0.3">
      <c r="A157" s="22">
        <v>5</v>
      </c>
      <c r="B157" s="22" t="s">
        <v>139</v>
      </c>
      <c r="C157" s="23" t="s">
        <v>47</v>
      </c>
      <c r="D157" s="24">
        <v>672</v>
      </c>
      <c r="E157" s="22">
        <v>850</v>
      </c>
      <c r="F157" s="25" t="s">
        <v>282</v>
      </c>
      <c r="G157" s="26">
        <v>571200</v>
      </c>
    </row>
    <row r="158" spans="1:7" ht="18.75" x14ac:dyDescent="0.3">
      <c r="A158" s="1" t="s">
        <v>7</v>
      </c>
      <c r="B158" s="21">
        <v>5.0999999999999996</v>
      </c>
      <c r="C158" s="45" t="s">
        <v>3</v>
      </c>
      <c r="D158" s="45" t="s">
        <v>8</v>
      </c>
      <c r="E158" s="46">
        <v>342720</v>
      </c>
      <c r="F158" s="10"/>
      <c r="G158" s="11">
        <v>228480</v>
      </c>
    </row>
    <row r="159" spans="1:7" ht="18.75" x14ac:dyDescent="0.3">
      <c r="A159" s="2" t="s">
        <v>9</v>
      </c>
      <c r="B159" s="12">
        <v>58</v>
      </c>
      <c r="C159" s="5">
        <v>336</v>
      </c>
      <c r="D159" s="50">
        <f>B159*C159</f>
        <v>19488</v>
      </c>
      <c r="E159" s="21">
        <v>0.6</v>
      </c>
      <c r="F159" s="10"/>
      <c r="G159" s="21">
        <v>0.4</v>
      </c>
    </row>
    <row r="160" spans="1:7" ht="18.75" x14ac:dyDescent="0.3">
      <c r="A160" s="2" t="s">
        <v>283</v>
      </c>
      <c r="B160" s="12">
        <v>65</v>
      </c>
      <c r="C160" s="3">
        <v>672</v>
      </c>
      <c r="D160" s="50">
        <f t="shared" ref="D160:D167" si="4">B160*C160</f>
        <v>43680</v>
      </c>
      <c r="E160" s="10"/>
      <c r="F160" s="10"/>
      <c r="G160" s="10"/>
    </row>
    <row r="161" spans="1:7" ht="18.75" x14ac:dyDescent="0.3">
      <c r="A161" s="2" t="s">
        <v>284</v>
      </c>
      <c r="B161" s="12">
        <v>60</v>
      </c>
      <c r="C161" s="5">
        <v>672</v>
      </c>
      <c r="D161" s="50">
        <f t="shared" si="4"/>
        <v>40320</v>
      </c>
      <c r="E161" s="10"/>
      <c r="F161" s="10"/>
      <c r="G161" s="10"/>
    </row>
    <row r="162" spans="1:7" ht="18.75" x14ac:dyDescent="0.3">
      <c r="A162" s="2" t="s">
        <v>74</v>
      </c>
      <c r="B162" s="12">
        <v>68</v>
      </c>
      <c r="C162" s="3">
        <v>672</v>
      </c>
      <c r="D162" s="50">
        <f t="shared" si="4"/>
        <v>45696</v>
      </c>
      <c r="E162" s="10"/>
      <c r="F162" s="10"/>
      <c r="G162" s="14">
        <f>E158-D173-D174-D175-D176-D177-D178-D179-D180-D181-D182-D183-D184-D185-D186</f>
        <v>0</v>
      </c>
    </row>
    <row r="163" spans="1:7" ht="18.75" x14ac:dyDescent="0.3">
      <c r="A163" s="2" t="s">
        <v>61</v>
      </c>
      <c r="B163" s="12">
        <v>66</v>
      </c>
      <c r="C163" s="3">
        <v>672</v>
      </c>
      <c r="D163" s="50">
        <f t="shared" si="4"/>
        <v>44352</v>
      </c>
      <c r="E163" s="10"/>
      <c r="F163" s="10"/>
      <c r="G163" s="10"/>
    </row>
    <row r="164" spans="1:7" ht="18.75" x14ac:dyDescent="0.3">
      <c r="A164" s="2" t="s">
        <v>101</v>
      </c>
      <c r="B164" s="12">
        <v>100</v>
      </c>
      <c r="C164" s="3">
        <v>672</v>
      </c>
      <c r="D164" s="50">
        <f t="shared" si="4"/>
        <v>67200</v>
      </c>
      <c r="E164" s="10"/>
      <c r="F164" s="10"/>
      <c r="G164" s="10"/>
    </row>
    <row r="165" spans="1:7" ht="18.75" x14ac:dyDescent="0.3">
      <c r="A165" s="2" t="s">
        <v>41</v>
      </c>
      <c r="B165" s="12">
        <v>78</v>
      </c>
      <c r="C165" s="3">
        <v>672</v>
      </c>
      <c r="D165" s="50">
        <f t="shared" si="4"/>
        <v>52416</v>
      </c>
      <c r="E165" s="10"/>
      <c r="F165" s="10"/>
      <c r="G165" s="10"/>
    </row>
    <row r="166" spans="1:7" ht="18.75" x14ac:dyDescent="0.3">
      <c r="A166" s="2" t="s">
        <v>163</v>
      </c>
      <c r="B166" s="12">
        <v>15</v>
      </c>
      <c r="C166" s="3">
        <v>672</v>
      </c>
      <c r="D166" s="50">
        <f t="shared" si="4"/>
        <v>10080</v>
      </c>
      <c r="E166" s="10"/>
      <c r="F166" s="10"/>
      <c r="G166" s="10"/>
    </row>
    <row r="167" spans="1:7" ht="18.75" x14ac:dyDescent="0.3">
      <c r="A167" s="2"/>
      <c r="B167" s="12"/>
      <c r="C167" s="3"/>
      <c r="D167" s="50">
        <f t="shared" si="4"/>
        <v>0</v>
      </c>
      <c r="E167" s="10"/>
      <c r="F167" s="16"/>
      <c r="G167" s="16"/>
    </row>
    <row r="168" spans="1:7" ht="18.75" x14ac:dyDescent="0.3">
      <c r="A168" s="2"/>
      <c r="B168" s="15"/>
      <c r="C168" s="3"/>
      <c r="D168" s="50"/>
      <c r="E168" s="10"/>
      <c r="F168" s="17"/>
      <c r="G168" s="17"/>
    </row>
    <row r="169" spans="1:7" ht="18.75" x14ac:dyDescent="0.3">
      <c r="A169" s="2"/>
      <c r="B169" s="12"/>
      <c r="C169" s="3"/>
      <c r="D169" s="50"/>
      <c r="E169" s="10"/>
      <c r="F169" s="10"/>
      <c r="G169" s="10"/>
    </row>
    <row r="170" spans="1:7" ht="18.75" x14ac:dyDescent="0.3">
      <c r="A170" s="2"/>
      <c r="B170" s="12"/>
      <c r="C170" s="3"/>
      <c r="D170" s="13"/>
      <c r="E170" s="10"/>
      <c r="F170" s="10"/>
      <c r="G170" s="10"/>
    </row>
    <row r="171" spans="1:7" ht="18.75" x14ac:dyDescent="0.3">
      <c r="A171" s="18"/>
      <c r="B171" s="19"/>
      <c r="C171" s="20"/>
      <c r="D171" s="13"/>
      <c r="E171" s="10"/>
      <c r="F171" s="10"/>
      <c r="G171" s="10"/>
    </row>
    <row r="172" spans="1:7" ht="18.75" x14ac:dyDescent="0.3">
      <c r="A172" s="1" t="s">
        <v>10</v>
      </c>
      <c r="B172" s="1" t="s">
        <v>11</v>
      </c>
      <c r="C172" s="1" t="s">
        <v>12</v>
      </c>
      <c r="D172" s="1" t="s">
        <v>13</v>
      </c>
      <c r="E172" s="1" t="s">
        <v>14</v>
      </c>
      <c r="F172" s="10"/>
      <c r="G172" s="10"/>
    </row>
    <row r="173" spans="1:7" ht="18.75" x14ac:dyDescent="0.3">
      <c r="A173" s="3" t="s">
        <v>16</v>
      </c>
      <c r="B173" s="4" t="s">
        <v>174</v>
      </c>
      <c r="C173" s="3">
        <v>336</v>
      </c>
      <c r="D173" s="49">
        <v>19488</v>
      </c>
      <c r="E173" s="3"/>
      <c r="F173" s="10"/>
      <c r="G173" s="10"/>
    </row>
    <row r="174" spans="1:7" ht="18.75" x14ac:dyDescent="0.3">
      <c r="A174" s="3" t="s">
        <v>15</v>
      </c>
      <c r="B174" s="4" t="s">
        <v>174</v>
      </c>
      <c r="C174" s="3">
        <v>336</v>
      </c>
      <c r="D174" s="49">
        <v>19488</v>
      </c>
      <c r="E174" s="5"/>
      <c r="F174" s="10"/>
      <c r="G174" s="10"/>
    </row>
    <row r="175" spans="1:7" ht="18.75" x14ac:dyDescent="0.3">
      <c r="A175" s="3" t="s">
        <v>16</v>
      </c>
      <c r="B175" s="4" t="s">
        <v>294</v>
      </c>
      <c r="C175" s="3">
        <v>336</v>
      </c>
      <c r="D175" s="49">
        <v>21840</v>
      </c>
      <c r="E175" s="5"/>
      <c r="F175" s="10"/>
      <c r="G175" s="10"/>
    </row>
    <row r="176" spans="1:7" ht="18.75" x14ac:dyDescent="0.3">
      <c r="A176" s="3" t="s">
        <v>15</v>
      </c>
      <c r="B176" s="4" t="s">
        <v>294</v>
      </c>
      <c r="C176" s="5">
        <v>336</v>
      </c>
      <c r="D176" s="49">
        <v>21840</v>
      </c>
      <c r="E176" s="3"/>
      <c r="F176" s="10"/>
      <c r="G176" s="10"/>
    </row>
    <row r="177" spans="1:7" ht="18.75" x14ac:dyDescent="0.3">
      <c r="A177" s="6" t="s">
        <v>29</v>
      </c>
      <c r="B177" s="4" t="s">
        <v>295</v>
      </c>
      <c r="C177" s="3">
        <v>672</v>
      </c>
      <c r="D177" s="49">
        <v>45696</v>
      </c>
      <c r="E177" s="5"/>
      <c r="F177" s="10"/>
      <c r="G177" s="10"/>
    </row>
    <row r="178" spans="1:7" ht="18.75" x14ac:dyDescent="0.3">
      <c r="A178" s="3" t="s">
        <v>205</v>
      </c>
      <c r="B178" s="4" t="s">
        <v>296</v>
      </c>
      <c r="C178" s="3">
        <v>672</v>
      </c>
      <c r="D178" s="49">
        <v>40320</v>
      </c>
      <c r="E178" s="5"/>
      <c r="F178" s="10"/>
      <c r="G178" s="10"/>
    </row>
    <row r="179" spans="1:7" ht="18.75" x14ac:dyDescent="0.3">
      <c r="A179" s="3" t="s">
        <v>17</v>
      </c>
      <c r="B179" s="4" t="s">
        <v>297</v>
      </c>
      <c r="C179" s="3">
        <v>672</v>
      </c>
      <c r="D179" s="49">
        <v>44352</v>
      </c>
      <c r="E179" s="5"/>
      <c r="F179" s="10"/>
      <c r="G179" s="10"/>
    </row>
    <row r="180" spans="1:7" ht="18.75" x14ac:dyDescent="0.3">
      <c r="A180" s="3" t="s">
        <v>205</v>
      </c>
      <c r="B180" s="4" t="s">
        <v>298</v>
      </c>
      <c r="C180" s="3">
        <v>672</v>
      </c>
      <c r="D180" s="49">
        <v>67200</v>
      </c>
      <c r="E180" s="3"/>
      <c r="F180" s="10"/>
      <c r="G180" s="10"/>
    </row>
    <row r="181" spans="1:7" ht="18.75" x14ac:dyDescent="0.3">
      <c r="A181" s="3" t="s">
        <v>185</v>
      </c>
      <c r="B181" s="4" t="s">
        <v>299</v>
      </c>
      <c r="C181" s="3">
        <v>672</v>
      </c>
      <c r="D181" s="49">
        <v>52416</v>
      </c>
      <c r="E181" s="3"/>
      <c r="F181" s="10"/>
      <c r="G181" s="10"/>
    </row>
    <row r="182" spans="1:7" ht="18.75" x14ac:dyDescent="0.3">
      <c r="A182" s="3" t="s">
        <v>300</v>
      </c>
      <c r="B182" s="4" t="s">
        <v>301</v>
      </c>
      <c r="C182" s="3">
        <v>672</v>
      </c>
      <c r="D182" s="49">
        <v>10080</v>
      </c>
      <c r="E182" s="3"/>
      <c r="F182" s="10"/>
      <c r="G182" s="10"/>
    </row>
    <row r="183" spans="1:7" ht="18.75" x14ac:dyDescent="0.3">
      <c r="A183" s="3"/>
      <c r="B183" s="4"/>
      <c r="C183" s="3"/>
      <c r="D183" s="49"/>
      <c r="E183" s="3"/>
      <c r="F183" s="10"/>
      <c r="G183" s="10"/>
    </row>
    <row r="184" spans="1:7" ht="18.75" x14ac:dyDescent="0.3">
      <c r="A184" s="3"/>
      <c r="B184" s="4"/>
      <c r="C184" s="5"/>
      <c r="D184" s="5"/>
      <c r="E184" s="3"/>
      <c r="F184" s="10"/>
      <c r="G184" s="10"/>
    </row>
    <row r="185" spans="1:7" ht="18.75" x14ac:dyDescent="0.3">
      <c r="A185" s="3"/>
      <c r="B185" s="4"/>
      <c r="C185" s="3"/>
      <c r="D185" s="5"/>
      <c r="E185" s="3"/>
      <c r="F185" s="10"/>
      <c r="G185" s="10"/>
    </row>
    <row r="186" spans="1:7" ht="18.75" x14ac:dyDescent="0.3">
      <c r="A186" s="3"/>
      <c r="B186" s="4"/>
      <c r="C186" s="3"/>
      <c r="D186" s="5"/>
      <c r="E186" s="3"/>
      <c r="F186" s="10"/>
      <c r="G186" s="10"/>
    </row>
    <row r="187" spans="1:7" ht="18.75" x14ac:dyDescent="0.3">
      <c r="A187" s="3"/>
      <c r="B187" s="4"/>
      <c r="C187" s="3"/>
      <c r="D187" s="5"/>
      <c r="E187" s="3"/>
      <c r="F187" s="10"/>
      <c r="G187" s="10"/>
    </row>
    <row r="188" spans="1:7" ht="18.75" x14ac:dyDescent="0.3">
      <c r="A188" s="3"/>
      <c r="B188" s="4"/>
      <c r="C188" s="3"/>
      <c r="D188" s="5"/>
      <c r="E188" s="3"/>
      <c r="F188" s="10"/>
      <c r="G188" s="10"/>
    </row>
    <row r="192" spans="1:7" ht="18.75" x14ac:dyDescent="0.3">
      <c r="A192" s="35" t="s">
        <v>0</v>
      </c>
      <c r="B192" s="35" t="s">
        <v>1</v>
      </c>
      <c r="C192" s="35" t="s">
        <v>2</v>
      </c>
      <c r="D192" s="35" t="s">
        <v>3</v>
      </c>
      <c r="E192" s="35" t="s">
        <v>4</v>
      </c>
      <c r="F192" s="35" t="s">
        <v>5</v>
      </c>
      <c r="G192" s="35" t="s">
        <v>6</v>
      </c>
    </row>
    <row r="193" spans="1:7" ht="18.75" x14ac:dyDescent="0.3">
      <c r="A193" s="22">
        <v>6</v>
      </c>
      <c r="B193" s="22" t="s">
        <v>139</v>
      </c>
      <c r="C193" s="23" t="s">
        <v>322</v>
      </c>
      <c r="D193" s="24">
        <v>1344</v>
      </c>
      <c r="E193" s="22">
        <v>900</v>
      </c>
      <c r="F193" s="25" t="s">
        <v>315</v>
      </c>
      <c r="G193" s="26">
        <f>D193*E193</f>
        <v>1209600</v>
      </c>
    </row>
    <row r="194" spans="1:7" ht="18.75" x14ac:dyDescent="0.3">
      <c r="A194" s="1" t="s">
        <v>7</v>
      </c>
      <c r="B194" s="7">
        <v>5.4</v>
      </c>
      <c r="C194" s="48" t="s">
        <v>3</v>
      </c>
      <c r="D194" s="48" t="s">
        <v>8</v>
      </c>
      <c r="E194" s="46">
        <v>725760</v>
      </c>
      <c r="F194" s="10"/>
      <c r="G194" s="11">
        <v>483840</v>
      </c>
    </row>
    <row r="195" spans="1:7" ht="18.75" x14ac:dyDescent="0.3">
      <c r="A195" s="2" t="s">
        <v>174</v>
      </c>
      <c r="B195" s="12">
        <v>58</v>
      </c>
      <c r="C195" s="5">
        <v>1344</v>
      </c>
      <c r="D195" s="50">
        <f t="shared" ref="D195:D203" si="5">B195*C195</f>
        <v>77952</v>
      </c>
      <c r="E195" s="21">
        <v>0.6</v>
      </c>
      <c r="F195" s="10"/>
      <c r="G195" s="21">
        <v>0.4</v>
      </c>
    </row>
    <row r="196" spans="1:7" ht="18.75" x14ac:dyDescent="0.3">
      <c r="A196" s="2" t="s">
        <v>257</v>
      </c>
      <c r="B196" s="12">
        <v>86</v>
      </c>
      <c r="C196" s="3">
        <v>672</v>
      </c>
      <c r="D196" s="50">
        <f t="shared" si="5"/>
        <v>57792</v>
      </c>
      <c r="E196" s="10"/>
      <c r="F196" s="10"/>
      <c r="G196" s="10"/>
    </row>
    <row r="197" spans="1:7" ht="18.75" x14ac:dyDescent="0.3">
      <c r="A197" s="2" t="s">
        <v>46</v>
      </c>
      <c r="B197" s="12">
        <v>89</v>
      </c>
      <c r="C197" s="3">
        <v>672</v>
      </c>
      <c r="D197" s="50">
        <f t="shared" si="5"/>
        <v>59808</v>
      </c>
      <c r="E197" s="10"/>
      <c r="F197" s="10"/>
      <c r="G197" s="10"/>
    </row>
    <row r="198" spans="1:7" ht="18.75" x14ac:dyDescent="0.3">
      <c r="A198" s="2" t="s">
        <v>70</v>
      </c>
      <c r="B198" s="12">
        <v>64</v>
      </c>
      <c r="C198" s="5">
        <v>1344</v>
      </c>
      <c r="D198" s="50">
        <f t="shared" si="5"/>
        <v>86016</v>
      </c>
      <c r="E198" s="10"/>
      <c r="F198" s="10"/>
      <c r="G198" s="10"/>
    </row>
    <row r="199" spans="1:7" ht="18.75" x14ac:dyDescent="0.3">
      <c r="A199" s="2" t="s">
        <v>61</v>
      </c>
      <c r="B199" s="12">
        <v>66</v>
      </c>
      <c r="C199" s="3">
        <v>1344</v>
      </c>
      <c r="D199" s="50">
        <f t="shared" si="5"/>
        <v>88704</v>
      </c>
      <c r="E199" s="10"/>
      <c r="F199" s="10"/>
      <c r="G199" s="14">
        <f>E194-D209-D210-D211-D212-D213-D214-D215-D216-D217-D218-D219-D220-D221-D222-D223-D224-D225-D226-D227-D228-D229-D230-D231-D231</f>
        <v>0</v>
      </c>
    </row>
    <row r="200" spans="1:7" ht="18.75" x14ac:dyDescent="0.3">
      <c r="A200" s="2" t="s">
        <v>156</v>
      </c>
      <c r="B200" s="12">
        <v>60</v>
      </c>
      <c r="C200" s="3">
        <v>1344</v>
      </c>
      <c r="D200" s="50">
        <f t="shared" si="5"/>
        <v>80640</v>
      </c>
      <c r="E200" s="10"/>
      <c r="F200" s="10"/>
      <c r="G200" s="10"/>
    </row>
    <row r="201" spans="1:7" ht="18.75" x14ac:dyDescent="0.3">
      <c r="A201" s="2" t="s">
        <v>101</v>
      </c>
      <c r="B201" s="12">
        <v>43</v>
      </c>
      <c r="C201" s="3">
        <v>1344</v>
      </c>
      <c r="D201" s="50">
        <f t="shared" si="5"/>
        <v>57792</v>
      </c>
      <c r="E201" s="10"/>
      <c r="F201" s="10"/>
    </row>
    <row r="202" spans="1:7" ht="18.75" x14ac:dyDescent="0.3">
      <c r="A202" s="2" t="s">
        <v>41</v>
      </c>
      <c r="B202" s="15">
        <v>59</v>
      </c>
      <c r="C202" s="3">
        <v>1344</v>
      </c>
      <c r="D202" s="50">
        <f t="shared" si="5"/>
        <v>79296</v>
      </c>
      <c r="E202" s="10"/>
      <c r="F202" s="10"/>
    </row>
    <row r="203" spans="1:7" ht="18.75" x14ac:dyDescent="0.3">
      <c r="A203" s="2" t="s">
        <v>163</v>
      </c>
      <c r="B203" s="15">
        <v>15</v>
      </c>
      <c r="C203" s="3">
        <v>1344</v>
      </c>
      <c r="D203" s="50">
        <f t="shared" si="5"/>
        <v>20160</v>
      </c>
      <c r="E203" s="10"/>
      <c r="F203" s="16"/>
    </row>
    <row r="204" spans="1:7" ht="18.75" x14ac:dyDescent="0.3">
      <c r="A204" s="2"/>
      <c r="B204" s="15"/>
      <c r="C204" s="3"/>
      <c r="D204" s="50"/>
      <c r="E204" s="10"/>
      <c r="F204" s="17"/>
    </row>
    <row r="205" spans="1:7" ht="18.75" x14ac:dyDescent="0.3">
      <c r="A205" s="2"/>
      <c r="B205" s="12"/>
      <c r="C205" s="3"/>
      <c r="D205" s="50"/>
      <c r="E205" s="10"/>
      <c r="F205" s="10"/>
    </row>
    <row r="206" spans="1:7" ht="18.75" x14ac:dyDescent="0.3">
      <c r="A206" s="2"/>
      <c r="B206" s="12"/>
      <c r="C206" s="3"/>
      <c r="D206" s="50"/>
      <c r="E206" s="10"/>
      <c r="F206" s="10"/>
    </row>
    <row r="207" spans="1:7" ht="18.75" x14ac:dyDescent="0.3">
      <c r="A207" s="18"/>
      <c r="B207" s="19"/>
      <c r="C207" s="20"/>
      <c r="D207" s="13"/>
      <c r="E207" s="10"/>
      <c r="F207" s="10"/>
    </row>
    <row r="208" spans="1:7" ht="18.75" x14ac:dyDescent="0.3">
      <c r="A208" s="1" t="s">
        <v>10</v>
      </c>
      <c r="B208" s="1" t="s">
        <v>11</v>
      </c>
      <c r="C208" s="1" t="s">
        <v>12</v>
      </c>
      <c r="D208" s="1" t="s">
        <v>13</v>
      </c>
      <c r="E208" s="1" t="s">
        <v>14</v>
      </c>
      <c r="F208" s="10"/>
    </row>
    <row r="209" spans="1:6" ht="18.75" x14ac:dyDescent="0.3">
      <c r="A209" s="3" t="s">
        <v>205</v>
      </c>
      <c r="B209" s="4" t="s">
        <v>345</v>
      </c>
      <c r="C209" s="3">
        <v>1344</v>
      </c>
      <c r="D209" s="58">
        <v>77952</v>
      </c>
      <c r="E209" s="3"/>
      <c r="F209" s="10"/>
    </row>
    <row r="210" spans="1:6" ht="18.75" x14ac:dyDescent="0.3">
      <c r="A210" s="3" t="s">
        <v>185</v>
      </c>
      <c r="B210" s="4" t="s">
        <v>326</v>
      </c>
      <c r="C210" s="3">
        <v>1344</v>
      </c>
      <c r="D210" s="58">
        <v>79296</v>
      </c>
      <c r="E210" s="5"/>
      <c r="F210" s="10"/>
    </row>
    <row r="211" spans="1:6" ht="18.75" x14ac:dyDescent="0.3">
      <c r="A211" s="3" t="s">
        <v>59</v>
      </c>
      <c r="B211" s="4" t="s">
        <v>327</v>
      </c>
      <c r="C211" s="3">
        <v>64</v>
      </c>
      <c r="D211" s="58">
        <v>3840</v>
      </c>
      <c r="E211" s="5"/>
      <c r="F211" s="10"/>
    </row>
    <row r="212" spans="1:6" ht="18.75" x14ac:dyDescent="0.3">
      <c r="A212" s="3" t="s">
        <v>17</v>
      </c>
      <c r="B212" s="4" t="s">
        <v>349</v>
      </c>
      <c r="C212" s="5">
        <v>1344</v>
      </c>
      <c r="D212" s="58">
        <v>86016</v>
      </c>
      <c r="E212" s="3"/>
      <c r="F212" s="10"/>
    </row>
    <row r="213" spans="1:6" ht="18.75" x14ac:dyDescent="0.3">
      <c r="A213" s="6" t="s">
        <v>113</v>
      </c>
      <c r="B213" s="4" t="s">
        <v>329</v>
      </c>
      <c r="C213" s="3">
        <v>1344</v>
      </c>
      <c r="D213" s="58">
        <v>20160</v>
      </c>
      <c r="E213" s="5"/>
      <c r="F213" s="10"/>
    </row>
    <row r="214" spans="1:6" ht="18.75" x14ac:dyDescent="0.3">
      <c r="A214" s="3" t="s">
        <v>15</v>
      </c>
      <c r="B214" s="4" t="s">
        <v>343</v>
      </c>
      <c r="C214" s="3">
        <v>672</v>
      </c>
      <c r="D214" s="58">
        <v>57792</v>
      </c>
      <c r="E214" s="5"/>
      <c r="F214" s="10"/>
    </row>
    <row r="215" spans="1:6" ht="18.75" x14ac:dyDescent="0.3">
      <c r="A215" s="3" t="s">
        <v>16</v>
      </c>
      <c r="B215" s="4" t="s">
        <v>344</v>
      </c>
      <c r="C215" s="3">
        <v>672</v>
      </c>
      <c r="D215" s="58">
        <v>57792</v>
      </c>
      <c r="E215" s="5"/>
      <c r="F215" s="10"/>
    </row>
    <row r="216" spans="1:6" ht="18.75" x14ac:dyDescent="0.3">
      <c r="A216" s="3" t="s">
        <v>205</v>
      </c>
      <c r="B216" s="4" t="s">
        <v>347</v>
      </c>
      <c r="C216" s="3">
        <v>672</v>
      </c>
      <c r="D216" s="58">
        <v>59808</v>
      </c>
      <c r="E216" s="3"/>
      <c r="F216" s="10"/>
    </row>
    <row r="217" spans="1:6" ht="18.75" x14ac:dyDescent="0.3">
      <c r="A217" s="3" t="s">
        <v>113</v>
      </c>
      <c r="B217" s="4" t="s">
        <v>350</v>
      </c>
      <c r="C217" s="3">
        <v>168</v>
      </c>
      <c r="D217" s="58">
        <v>14952</v>
      </c>
      <c r="E217" s="3"/>
      <c r="F217" s="10"/>
    </row>
    <row r="218" spans="1:6" ht="18.75" x14ac:dyDescent="0.3">
      <c r="A218" s="3" t="s">
        <v>332</v>
      </c>
      <c r="B218" s="4" t="s">
        <v>348</v>
      </c>
      <c r="C218" s="3">
        <v>1344</v>
      </c>
      <c r="D218" s="58">
        <v>76800</v>
      </c>
      <c r="E218" s="3"/>
      <c r="F218" s="10"/>
    </row>
    <row r="219" spans="1:6" ht="18.75" x14ac:dyDescent="0.3">
      <c r="A219" s="3" t="s">
        <v>16</v>
      </c>
      <c r="B219" s="4" t="s">
        <v>351</v>
      </c>
      <c r="C219" s="3">
        <v>504</v>
      </c>
      <c r="D219" s="58">
        <v>44856</v>
      </c>
      <c r="E219" s="3"/>
      <c r="F219" s="10"/>
    </row>
    <row r="220" spans="1:6" ht="18.75" x14ac:dyDescent="0.3">
      <c r="A220" s="3" t="s">
        <v>104</v>
      </c>
      <c r="B220" s="4" t="s">
        <v>352</v>
      </c>
      <c r="C220" s="3">
        <v>1344</v>
      </c>
      <c r="D220" s="58">
        <v>57792</v>
      </c>
      <c r="E220" s="3"/>
      <c r="F220" s="10"/>
    </row>
    <row r="221" spans="1:6" ht="18.75" x14ac:dyDescent="0.3">
      <c r="A221" s="3" t="s">
        <v>17</v>
      </c>
      <c r="B221" s="4" t="s">
        <v>353</v>
      </c>
      <c r="C221" s="3">
        <v>1344</v>
      </c>
      <c r="D221" s="5">
        <v>88704</v>
      </c>
      <c r="E221" s="3" t="s">
        <v>249</v>
      </c>
      <c r="F221" s="10"/>
    </row>
    <row r="222" spans="1:6" ht="18.75" x14ac:dyDescent="0.3">
      <c r="A222" s="3"/>
      <c r="B222" s="4"/>
      <c r="C222" s="3"/>
      <c r="D222" s="5"/>
      <c r="E222" s="3"/>
      <c r="F222" s="10"/>
    </row>
    <row r="223" spans="1:6" ht="18.75" x14ac:dyDescent="0.3">
      <c r="A223" s="3"/>
      <c r="B223" s="4"/>
      <c r="C223" s="3"/>
      <c r="D223" s="5"/>
      <c r="E223" s="3"/>
      <c r="F223" s="10"/>
    </row>
    <row r="224" spans="1:6" ht="18.75" x14ac:dyDescent="0.3">
      <c r="A224" s="3"/>
      <c r="B224" s="4"/>
      <c r="C224" s="5"/>
      <c r="D224" s="5"/>
      <c r="E224" s="3"/>
      <c r="F224" s="10"/>
    </row>
    <row r="225" spans="1:5" ht="18.75" x14ac:dyDescent="0.3">
      <c r="A225" s="3"/>
      <c r="B225" s="4"/>
      <c r="C225" s="5"/>
      <c r="D225" s="5"/>
      <c r="E225" s="3"/>
    </row>
    <row r="226" spans="1:5" ht="18.75" x14ac:dyDescent="0.3">
      <c r="A226" s="3"/>
      <c r="B226" s="4"/>
      <c r="C226" s="5"/>
      <c r="D226" s="5"/>
      <c r="E226" s="3"/>
    </row>
    <row r="227" spans="1:5" ht="18.75" x14ac:dyDescent="0.3">
      <c r="A227" s="3"/>
      <c r="B227" s="4"/>
      <c r="C227" s="5"/>
      <c r="D227" s="5"/>
      <c r="E227" s="3"/>
    </row>
    <row r="228" spans="1:5" ht="18.75" x14ac:dyDescent="0.3">
      <c r="A228" s="3"/>
      <c r="B228" s="4"/>
      <c r="C228" s="5"/>
      <c r="D228" s="5"/>
      <c r="E228" s="3"/>
    </row>
    <row r="229" spans="1:5" ht="18.75" x14ac:dyDescent="0.3">
      <c r="A229" s="3"/>
      <c r="B229" s="4"/>
      <c r="C229" s="5"/>
      <c r="D229" s="5"/>
      <c r="E229" s="3"/>
    </row>
    <row r="230" spans="1:5" ht="18.75" x14ac:dyDescent="0.3">
      <c r="A230" s="3"/>
      <c r="B230" s="4"/>
      <c r="C230" s="5"/>
      <c r="D230" s="5"/>
    </row>
    <row r="231" spans="1:5" ht="18.75" x14ac:dyDescent="0.3">
      <c r="A231" s="3"/>
      <c r="B231" s="4"/>
      <c r="C231" s="5"/>
      <c r="D231" s="5"/>
    </row>
    <row r="236" spans="1:5" x14ac:dyDescent="0.25">
      <c r="A236" s="138" t="s">
        <v>395</v>
      </c>
      <c r="B236" s="138"/>
      <c r="C236" s="138"/>
    </row>
    <row r="237" spans="1:5" x14ac:dyDescent="0.25">
      <c r="A237" s="138"/>
      <c r="B237" s="138"/>
      <c r="C237" s="138"/>
    </row>
    <row r="242" spans="1:7" ht="18.75" x14ac:dyDescent="0.3">
      <c r="A242" s="35" t="s">
        <v>0</v>
      </c>
      <c r="B242" s="35" t="s">
        <v>1</v>
      </c>
      <c r="C242" s="35" t="s">
        <v>2</v>
      </c>
      <c r="D242" s="35" t="s">
        <v>3</v>
      </c>
      <c r="E242" s="35" t="s">
        <v>4</v>
      </c>
      <c r="F242" s="35" t="s">
        <v>5</v>
      </c>
      <c r="G242" s="35" t="s">
        <v>6</v>
      </c>
    </row>
    <row r="243" spans="1:7" ht="18.75" x14ac:dyDescent="0.3">
      <c r="A243" s="22">
        <v>7</v>
      </c>
      <c r="B243" s="22" t="s">
        <v>54</v>
      </c>
      <c r="C243" s="23" t="s">
        <v>402</v>
      </c>
      <c r="D243" s="24">
        <v>1344</v>
      </c>
      <c r="E243" s="22">
        <v>900</v>
      </c>
      <c r="F243" s="25"/>
      <c r="G243" s="26">
        <f>D243*E243</f>
        <v>1209600</v>
      </c>
    </row>
    <row r="244" spans="1:7" ht="18.75" x14ac:dyDescent="0.3">
      <c r="A244" s="1" t="s">
        <v>7</v>
      </c>
      <c r="B244" s="7">
        <v>5.4</v>
      </c>
      <c r="C244" s="48" t="s">
        <v>3</v>
      </c>
      <c r="D244" s="48" t="s">
        <v>8</v>
      </c>
      <c r="E244" s="46">
        <v>725760</v>
      </c>
      <c r="F244" s="10"/>
      <c r="G244" s="11">
        <v>483840</v>
      </c>
    </row>
    <row r="245" spans="1:7" ht="18.75" x14ac:dyDescent="0.3">
      <c r="A245" s="2" t="s">
        <v>335</v>
      </c>
      <c r="B245" s="12">
        <v>80</v>
      </c>
      <c r="C245" s="5">
        <v>672</v>
      </c>
      <c r="D245" s="50">
        <f t="shared" ref="D245:D253" si="6">B245*C245</f>
        <v>53760</v>
      </c>
      <c r="E245" s="21">
        <v>0.6</v>
      </c>
      <c r="F245" s="10"/>
      <c r="G245" s="21">
        <v>0.4</v>
      </c>
    </row>
    <row r="246" spans="1:7" ht="18.75" x14ac:dyDescent="0.3">
      <c r="A246" s="2" t="s">
        <v>403</v>
      </c>
      <c r="B246" s="12">
        <v>95</v>
      </c>
      <c r="C246" s="3">
        <v>672</v>
      </c>
      <c r="D246" s="50">
        <f t="shared" si="6"/>
        <v>63840</v>
      </c>
      <c r="E246" s="10"/>
      <c r="F246" s="10"/>
      <c r="G246" s="10"/>
    </row>
    <row r="247" spans="1:7" ht="18.75" x14ac:dyDescent="0.3">
      <c r="A247" s="2" t="s">
        <v>396</v>
      </c>
      <c r="B247" s="12">
        <v>68</v>
      </c>
      <c r="C247" s="3">
        <v>672</v>
      </c>
      <c r="D247" s="50">
        <f t="shared" si="6"/>
        <v>45696</v>
      </c>
      <c r="E247" s="10"/>
      <c r="F247" s="10"/>
      <c r="G247" s="10"/>
    </row>
    <row r="248" spans="1:7" ht="18.75" x14ac:dyDescent="0.3">
      <c r="A248" s="2" t="s">
        <v>130</v>
      </c>
      <c r="B248" s="12">
        <v>60</v>
      </c>
      <c r="C248" s="5">
        <v>1344</v>
      </c>
      <c r="D248" s="50">
        <f t="shared" si="6"/>
        <v>80640</v>
      </c>
      <c r="E248" s="10"/>
      <c r="F248" s="10"/>
      <c r="G248" s="10"/>
    </row>
    <row r="249" spans="1:7" ht="18.75" x14ac:dyDescent="0.3">
      <c r="A249" s="2" t="s">
        <v>339</v>
      </c>
      <c r="B249" s="12">
        <v>65</v>
      </c>
      <c r="C249" s="3">
        <v>1344</v>
      </c>
      <c r="D249" s="50">
        <f t="shared" si="6"/>
        <v>87360</v>
      </c>
      <c r="E249" s="10"/>
      <c r="F249" s="10"/>
      <c r="G249" s="14">
        <f>E244-D259-D260-D261-D262-D263-D264-D265-D266-D267-D268-D269-D270-D271-D272-D273-D274-D275-D276-D277-D278-D279-D280-D281-D281</f>
        <v>0</v>
      </c>
    </row>
    <row r="250" spans="1:7" ht="18.75" x14ac:dyDescent="0.3">
      <c r="A250" s="2" t="s">
        <v>338</v>
      </c>
      <c r="B250" s="12">
        <v>43</v>
      </c>
      <c r="C250" s="3">
        <v>1344</v>
      </c>
      <c r="D250" s="50">
        <f t="shared" si="6"/>
        <v>57792</v>
      </c>
      <c r="E250" s="10"/>
      <c r="F250" s="10"/>
      <c r="G250" s="10"/>
    </row>
    <row r="251" spans="1:7" ht="18.75" x14ac:dyDescent="0.3">
      <c r="A251" s="2" t="s">
        <v>41</v>
      </c>
      <c r="B251" s="12">
        <v>129</v>
      </c>
      <c r="C251" s="3">
        <v>1344</v>
      </c>
      <c r="D251" s="50">
        <f t="shared" si="6"/>
        <v>173376</v>
      </c>
      <c r="E251" s="10"/>
      <c r="F251" s="10"/>
    </row>
    <row r="252" spans="1:7" ht="18.75" x14ac:dyDescent="0.3">
      <c r="A252" s="2"/>
      <c r="B252" s="15"/>
      <c r="C252" s="3"/>
      <c r="D252" s="50">
        <f t="shared" si="6"/>
        <v>0</v>
      </c>
      <c r="E252" s="10"/>
      <c r="F252" s="10"/>
    </row>
    <row r="253" spans="1:7" ht="18.75" x14ac:dyDescent="0.3">
      <c r="A253" s="2"/>
      <c r="B253" s="15"/>
      <c r="C253" s="3"/>
      <c r="D253" s="50">
        <f t="shared" si="6"/>
        <v>0</v>
      </c>
      <c r="E253" s="10"/>
      <c r="F253" s="16"/>
    </row>
    <row r="254" spans="1:7" ht="18.75" x14ac:dyDescent="0.3">
      <c r="A254" s="2"/>
      <c r="B254" s="15"/>
      <c r="C254" s="3"/>
      <c r="D254" s="50"/>
      <c r="E254" s="10"/>
      <c r="F254" s="17"/>
    </row>
    <row r="255" spans="1:7" ht="18.75" x14ac:dyDescent="0.3">
      <c r="A255" s="2"/>
      <c r="B255" s="12"/>
      <c r="C255" s="3"/>
      <c r="D255" s="50"/>
      <c r="E255" s="10"/>
      <c r="F255" s="10"/>
    </row>
    <row r="256" spans="1:7" ht="18.75" x14ac:dyDescent="0.3">
      <c r="A256" s="2"/>
      <c r="B256" s="12"/>
      <c r="C256" s="3"/>
      <c r="D256" s="50"/>
      <c r="E256" s="10"/>
      <c r="F256" s="10"/>
    </row>
    <row r="257" spans="1:6" ht="18.75" x14ac:dyDescent="0.3">
      <c r="A257" s="18"/>
      <c r="B257" s="19"/>
      <c r="C257" s="20"/>
      <c r="D257" s="13"/>
      <c r="E257" s="10"/>
      <c r="F257" s="10"/>
    </row>
    <row r="258" spans="1:6" ht="18.75" x14ac:dyDescent="0.3">
      <c r="A258" s="1" t="s">
        <v>10</v>
      </c>
      <c r="B258" s="1" t="s">
        <v>11</v>
      </c>
      <c r="C258" s="1" t="s">
        <v>12</v>
      </c>
      <c r="D258" s="1" t="s">
        <v>13</v>
      </c>
      <c r="E258" s="1" t="s">
        <v>14</v>
      </c>
      <c r="F258" s="10"/>
    </row>
    <row r="259" spans="1:6" ht="18.75" x14ac:dyDescent="0.3">
      <c r="A259" s="3" t="s">
        <v>16</v>
      </c>
      <c r="B259" s="4" t="s">
        <v>410</v>
      </c>
      <c r="C259" s="3">
        <v>672</v>
      </c>
      <c r="D259" s="58">
        <v>53760</v>
      </c>
      <c r="E259" s="3"/>
      <c r="F259" s="10"/>
    </row>
    <row r="260" spans="1:6" ht="18.75" x14ac:dyDescent="0.3">
      <c r="A260" s="3" t="s">
        <v>42</v>
      </c>
      <c r="B260" s="4" t="s">
        <v>410</v>
      </c>
      <c r="C260" s="3">
        <v>672</v>
      </c>
      <c r="D260" s="58">
        <v>53760</v>
      </c>
      <c r="E260" s="5"/>
      <c r="F260" s="10"/>
    </row>
    <row r="261" spans="1:6" ht="18.75" x14ac:dyDescent="0.3">
      <c r="A261" s="3" t="s">
        <v>404</v>
      </c>
      <c r="B261" s="4" t="s">
        <v>405</v>
      </c>
      <c r="C261" s="3">
        <v>1344</v>
      </c>
      <c r="D261" s="58">
        <v>173376</v>
      </c>
      <c r="E261" s="5"/>
      <c r="F261" s="10"/>
    </row>
    <row r="262" spans="1:6" ht="18.75" x14ac:dyDescent="0.3">
      <c r="A262" s="3" t="s">
        <v>15</v>
      </c>
      <c r="B262" s="4" t="s">
        <v>408</v>
      </c>
      <c r="C262" s="5">
        <v>1344</v>
      </c>
      <c r="D262" s="58">
        <v>57792</v>
      </c>
      <c r="E262" s="3"/>
      <c r="F262" s="10"/>
    </row>
    <row r="263" spans="1:6" ht="18.75" x14ac:dyDescent="0.3">
      <c r="A263" s="6" t="s">
        <v>42</v>
      </c>
      <c r="B263" s="4" t="s">
        <v>409</v>
      </c>
      <c r="C263" s="3">
        <v>1344</v>
      </c>
      <c r="D263" s="58">
        <v>80640</v>
      </c>
      <c r="E263" s="5"/>
      <c r="F263" s="10"/>
    </row>
    <row r="264" spans="1:6" ht="18.75" x14ac:dyDescent="0.3">
      <c r="A264" s="3" t="s">
        <v>17</v>
      </c>
      <c r="B264" s="4" t="s">
        <v>412</v>
      </c>
      <c r="C264" s="3">
        <v>672</v>
      </c>
      <c r="D264" s="58">
        <v>45696</v>
      </c>
      <c r="E264" s="5"/>
      <c r="F264" s="10"/>
    </row>
    <row r="265" spans="1:6" ht="18.75" x14ac:dyDescent="0.3">
      <c r="A265" s="3" t="s">
        <v>332</v>
      </c>
      <c r="B265" s="4" t="s">
        <v>413</v>
      </c>
      <c r="C265" s="3">
        <v>672</v>
      </c>
      <c r="D265" s="58">
        <v>45696</v>
      </c>
      <c r="E265" s="5"/>
      <c r="F265" s="10"/>
    </row>
    <row r="266" spans="1:6" ht="18.75" x14ac:dyDescent="0.3">
      <c r="A266" s="3" t="s">
        <v>332</v>
      </c>
      <c r="B266" s="4" t="s">
        <v>414</v>
      </c>
      <c r="C266" s="3">
        <v>1344</v>
      </c>
      <c r="D266" s="58">
        <v>87360</v>
      </c>
      <c r="E266" s="3"/>
      <c r="F266" s="10"/>
    </row>
    <row r="267" spans="1:6" ht="18.75" x14ac:dyDescent="0.3">
      <c r="A267" s="3" t="s">
        <v>42</v>
      </c>
      <c r="B267" s="4" t="s">
        <v>427</v>
      </c>
      <c r="C267" s="3">
        <v>672</v>
      </c>
      <c r="D267" s="58">
        <v>63840</v>
      </c>
      <c r="E267" s="3"/>
      <c r="F267" s="10"/>
    </row>
    <row r="268" spans="1:6" ht="18.75" x14ac:dyDescent="0.3">
      <c r="A268" s="3" t="s">
        <v>16</v>
      </c>
      <c r="B268" s="4" t="s">
        <v>427</v>
      </c>
      <c r="C268" s="3">
        <v>672</v>
      </c>
      <c r="D268" s="58">
        <v>63840</v>
      </c>
      <c r="E268" s="3"/>
      <c r="F268" s="10"/>
    </row>
    <row r="269" spans="1:6" ht="18.75" x14ac:dyDescent="0.3">
      <c r="A269" s="3"/>
      <c r="B269" s="4"/>
      <c r="C269" s="3"/>
      <c r="D269" s="58"/>
      <c r="E269" s="3"/>
      <c r="F269" s="10"/>
    </row>
    <row r="270" spans="1:6" ht="18.75" x14ac:dyDescent="0.3">
      <c r="A270" s="3"/>
      <c r="B270" s="4"/>
      <c r="C270" s="3"/>
      <c r="D270" s="58"/>
      <c r="E270" s="3"/>
      <c r="F270" s="10"/>
    </row>
    <row r="271" spans="1:6" ht="18.75" x14ac:dyDescent="0.3">
      <c r="A271" s="3"/>
      <c r="B271" s="4"/>
      <c r="C271" s="3"/>
      <c r="D271" s="5"/>
      <c r="E271" s="3" t="s">
        <v>249</v>
      </c>
      <c r="F271" s="10"/>
    </row>
    <row r="272" spans="1:6" ht="18.75" x14ac:dyDescent="0.3">
      <c r="A272" s="3"/>
      <c r="B272" s="4"/>
      <c r="C272" s="3"/>
      <c r="D272" s="5"/>
      <c r="E272" s="3"/>
      <c r="F272" s="10"/>
    </row>
    <row r="273" spans="1:7" ht="18.75" x14ac:dyDescent="0.3">
      <c r="A273" s="3"/>
      <c r="B273" s="4"/>
      <c r="C273" s="3"/>
      <c r="D273" s="5"/>
      <c r="E273" s="3"/>
      <c r="F273" s="10"/>
    </row>
    <row r="274" spans="1:7" ht="18.75" x14ac:dyDescent="0.3">
      <c r="A274" s="3"/>
      <c r="B274" s="4"/>
      <c r="C274" s="5"/>
      <c r="D274" s="5"/>
      <c r="E274" s="3"/>
      <c r="F274" s="10"/>
    </row>
    <row r="275" spans="1:7" ht="18.75" x14ac:dyDescent="0.3">
      <c r="A275" s="3"/>
      <c r="B275" s="4"/>
      <c r="C275" s="5"/>
      <c r="D275" s="5"/>
      <c r="E275" s="3"/>
    </row>
    <row r="276" spans="1:7" ht="18.75" x14ac:dyDescent="0.3">
      <c r="A276" s="3"/>
      <c r="B276" s="4"/>
      <c r="C276" s="5"/>
      <c r="D276" s="5"/>
      <c r="E276" s="3"/>
    </row>
    <row r="277" spans="1:7" ht="18.75" x14ac:dyDescent="0.3">
      <c r="A277" s="3"/>
      <c r="B277" s="4"/>
      <c r="C277" s="5"/>
      <c r="D277" s="5"/>
      <c r="E277" s="3"/>
    </row>
    <row r="278" spans="1:7" ht="18.75" x14ac:dyDescent="0.3">
      <c r="A278" s="3"/>
      <c r="B278" s="4"/>
      <c r="C278" s="5"/>
      <c r="D278" s="5"/>
      <c r="E278" s="3"/>
    </row>
    <row r="279" spans="1:7" ht="18.75" x14ac:dyDescent="0.3">
      <c r="A279" s="3"/>
      <c r="B279" s="4"/>
      <c r="C279" s="5"/>
      <c r="D279" s="5"/>
      <c r="E279" s="3"/>
    </row>
    <row r="280" spans="1:7" ht="18.75" x14ac:dyDescent="0.3">
      <c r="A280" s="3"/>
      <c r="B280" s="4"/>
      <c r="C280" s="5"/>
      <c r="D280" s="5"/>
    </row>
    <row r="281" spans="1:7" ht="18.75" x14ac:dyDescent="0.3">
      <c r="A281" s="3"/>
      <c r="B281" s="4"/>
      <c r="C281" s="5"/>
      <c r="D281" s="5"/>
    </row>
    <row r="285" spans="1:7" ht="18.75" x14ac:dyDescent="0.3">
      <c r="A285" s="35" t="s">
        <v>0</v>
      </c>
      <c r="B285" s="35" t="s">
        <v>1</v>
      </c>
      <c r="C285" s="35" t="s">
        <v>2</v>
      </c>
      <c r="D285" s="35" t="s">
        <v>3</v>
      </c>
      <c r="E285" s="35" t="s">
        <v>4</v>
      </c>
      <c r="F285" s="35" t="s">
        <v>5</v>
      </c>
      <c r="G285" s="35" t="s">
        <v>6</v>
      </c>
    </row>
    <row r="286" spans="1:7" ht="18.75" x14ac:dyDescent="0.3">
      <c r="A286" s="22">
        <v>8</v>
      </c>
      <c r="B286" s="22" t="s">
        <v>54</v>
      </c>
      <c r="C286" s="23" t="s">
        <v>452</v>
      </c>
      <c r="D286" s="24">
        <v>1344</v>
      </c>
      <c r="E286" s="22">
        <v>1000</v>
      </c>
      <c r="F286" s="25" t="s">
        <v>444</v>
      </c>
      <c r="G286" s="26">
        <f>D286*E286</f>
        <v>1344000</v>
      </c>
    </row>
    <row r="287" spans="1:7" ht="18.75" x14ac:dyDescent="0.3">
      <c r="A287" s="1" t="s">
        <v>7</v>
      </c>
      <c r="B287" s="7">
        <v>6</v>
      </c>
      <c r="C287" s="48" t="s">
        <v>3</v>
      </c>
      <c r="D287" s="48" t="s">
        <v>8</v>
      </c>
      <c r="E287" s="46">
        <v>806400</v>
      </c>
      <c r="F287" s="10"/>
      <c r="G287" s="11">
        <v>537600</v>
      </c>
    </row>
    <row r="288" spans="1:7" ht="18.75" x14ac:dyDescent="0.3">
      <c r="A288" s="2" t="s">
        <v>174</v>
      </c>
      <c r="B288" s="12">
        <v>58</v>
      </c>
      <c r="C288" s="5">
        <v>1344</v>
      </c>
      <c r="D288" s="50">
        <f t="shared" ref="D288:D296" si="7">B288*C288</f>
        <v>77952</v>
      </c>
      <c r="E288" s="21">
        <v>0.6</v>
      </c>
      <c r="F288" s="10"/>
      <c r="G288" s="21">
        <v>0.4</v>
      </c>
    </row>
    <row r="289" spans="1:7" ht="18.75" x14ac:dyDescent="0.3">
      <c r="A289" s="2" t="s">
        <v>257</v>
      </c>
      <c r="B289" s="12">
        <v>86</v>
      </c>
      <c r="C289" s="3">
        <v>672</v>
      </c>
      <c r="D289" s="50">
        <f t="shared" si="7"/>
        <v>57792</v>
      </c>
      <c r="E289" s="10"/>
      <c r="F289" s="10"/>
      <c r="G289" s="10"/>
    </row>
    <row r="290" spans="1:7" ht="18.75" x14ac:dyDescent="0.3">
      <c r="A290" s="2" t="s">
        <v>46</v>
      </c>
      <c r="B290" s="12">
        <v>89</v>
      </c>
      <c r="C290" s="3">
        <v>168</v>
      </c>
      <c r="D290" s="50">
        <f t="shared" si="7"/>
        <v>14952</v>
      </c>
      <c r="E290" s="10"/>
      <c r="F290" s="10"/>
      <c r="G290" s="10"/>
    </row>
    <row r="291" spans="1:7" ht="18.75" x14ac:dyDescent="0.3">
      <c r="A291" s="2" t="s">
        <v>74</v>
      </c>
      <c r="B291" s="12">
        <v>60</v>
      </c>
      <c r="C291" s="5">
        <v>1344</v>
      </c>
      <c r="D291" s="50">
        <f t="shared" si="7"/>
        <v>80640</v>
      </c>
      <c r="E291" s="10"/>
      <c r="F291" s="10"/>
      <c r="G291" s="10"/>
    </row>
    <row r="292" spans="1:7" ht="18.75" x14ac:dyDescent="0.3">
      <c r="A292" s="2" t="s">
        <v>61</v>
      </c>
      <c r="B292" s="12">
        <v>66</v>
      </c>
      <c r="C292" s="3">
        <v>1344</v>
      </c>
      <c r="D292" s="50">
        <f t="shared" si="7"/>
        <v>88704</v>
      </c>
      <c r="E292" s="10"/>
      <c r="F292" s="10"/>
      <c r="G292" s="14">
        <f>E287-D302-D303-D304-D305-D306-D307-D308-D309-D310-D311-D312</f>
        <v>91392</v>
      </c>
    </row>
    <row r="293" spans="1:7" ht="18.75" x14ac:dyDescent="0.3">
      <c r="A293" s="2" t="s">
        <v>156</v>
      </c>
      <c r="B293" s="12">
        <v>60</v>
      </c>
      <c r="C293" s="3">
        <v>1344</v>
      </c>
      <c r="D293" s="50">
        <f t="shared" si="7"/>
        <v>80640</v>
      </c>
      <c r="E293" s="10"/>
      <c r="F293" s="10"/>
      <c r="G293" s="10"/>
    </row>
    <row r="294" spans="1:7" ht="18.75" x14ac:dyDescent="0.3">
      <c r="A294" s="2" t="s">
        <v>101</v>
      </c>
      <c r="B294" s="12">
        <v>43</v>
      </c>
      <c r="C294" s="3">
        <v>1344</v>
      </c>
      <c r="D294" s="50">
        <f t="shared" si="7"/>
        <v>57792</v>
      </c>
      <c r="E294" s="10"/>
      <c r="F294" s="10"/>
    </row>
    <row r="295" spans="1:7" ht="18.75" x14ac:dyDescent="0.3">
      <c r="A295" s="2" t="s">
        <v>41</v>
      </c>
      <c r="B295" s="15">
        <v>68</v>
      </c>
      <c r="C295" s="3">
        <v>1344</v>
      </c>
      <c r="D295" s="50">
        <f t="shared" si="7"/>
        <v>91392</v>
      </c>
      <c r="E295" s="10"/>
      <c r="F295" s="10"/>
    </row>
    <row r="296" spans="1:7" ht="18.75" x14ac:dyDescent="0.3">
      <c r="A296" s="2" t="s">
        <v>163</v>
      </c>
      <c r="B296" s="15">
        <v>70</v>
      </c>
      <c r="C296" s="3">
        <v>1344</v>
      </c>
      <c r="D296" s="50">
        <f t="shared" si="7"/>
        <v>94080</v>
      </c>
      <c r="E296" s="10"/>
      <c r="F296" s="16"/>
    </row>
    <row r="297" spans="1:7" ht="18.75" x14ac:dyDescent="0.3">
      <c r="A297" s="2"/>
      <c r="B297" s="15"/>
      <c r="C297" s="3"/>
      <c r="D297" s="50"/>
      <c r="E297" s="10"/>
      <c r="F297" s="17"/>
    </row>
    <row r="298" spans="1:7" ht="18.75" x14ac:dyDescent="0.3">
      <c r="A298" s="2"/>
      <c r="B298" s="12"/>
      <c r="C298" s="3"/>
      <c r="D298" s="50"/>
      <c r="E298" s="10"/>
      <c r="F298" s="10"/>
    </row>
    <row r="299" spans="1:7" ht="18.75" x14ac:dyDescent="0.3">
      <c r="A299" s="2"/>
      <c r="B299" s="12"/>
      <c r="C299" s="3"/>
      <c r="D299" s="50"/>
      <c r="E299" s="10"/>
      <c r="F299" s="10"/>
    </row>
    <row r="300" spans="1:7" ht="18.75" x14ac:dyDescent="0.3">
      <c r="A300" s="18"/>
      <c r="B300" s="19"/>
      <c r="C300" s="20"/>
      <c r="D300" s="13"/>
      <c r="E300" s="10"/>
      <c r="F300" s="10"/>
    </row>
    <row r="301" spans="1:7" ht="18.75" x14ac:dyDescent="0.3">
      <c r="A301" s="1" t="s">
        <v>10</v>
      </c>
      <c r="B301" s="1" t="s">
        <v>11</v>
      </c>
      <c r="C301" s="1" t="s">
        <v>12</v>
      </c>
      <c r="D301" s="1" t="s">
        <v>13</v>
      </c>
      <c r="E301" s="1" t="s">
        <v>14</v>
      </c>
      <c r="F301" s="10"/>
    </row>
    <row r="302" spans="1:7" ht="18.75" x14ac:dyDescent="0.3">
      <c r="A302" s="3" t="s">
        <v>104</v>
      </c>
      <c r="B302" s="4" t="s">
        <v>301</v>
      </c>
      <c r="C302" s="3">
        <v>1344</v>
      </c>
      <c r="D302" s="58">
        <v>94080</v>
      </c>
      <c r="E302" s="3"/>
      <c r="F302" s="10"/>
    </row>
    <row r="303" spans="1:7" ht="18.75" x14ac:dyDescent="0.3">
      <c r="A303" s="3" t="s">
        <v>42</v>
      </c>
      <c r="B303" s="4" t="s">
        <v>462</v>
      </c>
      <c r="C303" s="3">
        <v>1344</v>
      </c>
      <c r="D303" s="58">
        <v>77952</v>
      </c>
      <c r="E303" s="5"/>
      <c r="F303" s="10"/>
    </row>
    <row r="304" spans="1:7" ht="18.75" x14ac:dyDescent="0.3">
      <c r="A304" s="3" t="s">
        <v>16</v>
      </c>
      <c r="B304" s="4" t="s">
        <v>463</v>
      </c>
      <c r="C304" s="3">
        <v>672</v>
      </c>
      <c r="D304" s="58">
        <v>57792</v>
      </c>
      <c r="E304" s="5"/>
      <c r="F304" s="10"/>
    </row>
    <row r="305" spans="1:6" ht="18.75" x14ac:dyDescent="0.3">
      <c r="A305" s="3" t="s">
        <v>379</v>
      </c>
      <c r="B305" s="4" t="s">
        <v>464</v>
      </c>
      <c r="C305" s="5">
        <v>1344</v>
      </c>
      <c r="D305" s="58">
        <v>80640</v>
      </c>
      <c r="E305" s="3"/>
      <c r="F305" s="10"/>
    </row>
    <row r="306" spans="1:6" ht="18.75" x14ac:dyDescent="0.3">
      <c r="A306" s="6" t="s">
        <v>379</v>
      </c>
      <c r="B306" s="4" t="s">
        <v>465</v>
      </c>
      <c r="C306" s="3">
        <v>1344</v>
      </c>
      <c r="D306" s="58">
        <v>80640</v>
      </c>
      <c r="E306" s="5"/>
      <c r="F306" s="10"/>
    </row>
    <row r="307" spans="1:6" ht="18.75" x14ac:dyDescent="0.3">
      <c r="A307" s="3" t="s">
        <v>104</v>
      </c>
      <c r="B307" s="4" t="s">
        <v>466</v>
      </c>
      <c r="C307" s="3">
        <v>1344</v>
      </c>
      <c r="D307" s="58">
        <v>57792</v>
      </c>
      <c r="E307" s="5"/>
      <c r="F307" s="10"/>
    </row>
    <row r="308" spans="1:6" ht="18.75" x14ac:dyDescent="0.3">
      <c r="A308" s="3" t="s">
        <v>42</v>
      </c>
      <c r="B308" s="4" t="s">
        <v>469</v>
      </c>
      <c r="C308" s="3">
        <v>672</v>
      </c>
      <c r="D308" s="58">
        <v>59808</v>
      </c>
      <c r="E308" s="5"/>
      <c r="F308" s="10"/>
    </row>
    <row r="309" spans="1:6" ht="18.75" x14ac:dyDescent="0.3">
      <c r="A309" s="3" t="s">
        <v>17</v>
      </c>
      <c r="B309" s="4" t="s">
        <v>467</v>
      </c>
      <c r="C309" s="3">
        <v>1344</v>
      </c>
      <c r="D309" s="58">
        <v>88704</v>
      </c>
      <c r="E309" s="3"/>
      <c r="F309" s="10"/>
    </row>
    <row r="310" spans="1:6" ht="18.75" x14ac:dyDescent="0.3">
      <c r="A310" s="3" t="s">
        <v>113</v>
      </c>
      <c r="B310" s="4" t="s">
        <v>470</v>
      </c>
      <c r="C310" s="3">
        <v>504</v>
      </c>
      <c r="D310" s="58">
        <v>44856</v>
      </c>
      <c r="E310" s="3"/>
      <c r="F310" s="10"/>
    </row>
    <row r="311" spans="1:6" ht="18.75" x14ac:dyDescent="0.3">
      <c r="A311" s="3" t="s">
        <v>123</v>
      </c>
      <c r="B311" s="4" t="s">
        <v>471</v>
      </c>
      <c r="C311" s="3">
        <v>168</v>
      </c>
      <c r="D311" s="58">
        <v>14952</v>
      </c>
      <c r="E311" s="3"/>
      <c r="F311" s="10"/>
    </row>
    <row r="312" spans="1:6" ht="18.75" x14ac:dyDescent="0.3">
      <c r="A312" s="3" t="s">
        <v>15</v>
      </c>
      <c r="B312" s="4" t="s">
        <v>468</v>
      </c>
      <c r="C312" s="3">
        <v>672</v>
      </c>
      <c r="D312" s="58">
        <v>57792</v>
      </c>
      <c r="E312" s="3"/>
      <c r="F312" s="10"/>
    </row>
    <row r="313" spans="1:6" ht="18.75" x14ac:dyDescent="0.3">
      <c r="A313" s="3" t="s">
        <v>472</v>
      </c>
      <c r="B313" s="4" t="s">
        <v>41</v>
      </c>
      <c r="C313" s="3">
        <v>1344</v>
      </c>
      <c r="D313" s="58">
        <v>91392</v>
      </c>
      <c r="E313" s="3"/>
      <c r="F313" s="10"/>
    </row>
    <row r="314" spans="1:6" ht="18.75" x14ac:dyDescent="0.3">
      <c r="A314" s="3"/>
      <c r="B314" s="4"/>
      <c r="C314" s="3"/>
      <c r="D314" s="5"/>
      <c r="E314" s="3" t="s">
        <v>249</v>
      </c>
      <c r="F314" s="10"/>
    </row>
    <row r="315" spans="1:6" ht="18.75" x14ac:dyDescent="0.3">
      <c r="A315" s="3"/>
      <c r="B315" s="4"/>
      <c r="C315" s="3"/>
      <c r="D315" s="5"/>
      <c r="E315" s="3"/>
      <c r="F315" s="10"/>
    </row>
    <row r="316" spans="1:6" ht="18.75" x14ac:dyDescent="0.3">
      <c r="A316" s="3"/>
      <c r="B316" s="4"/>
      <c r="C316" s="3"/>
      <c r="D316" s="5"/>
      <c r="E316" s="3"/>
      <c r="F316" s="10"/>
    </row>
    <row r="317" spans="1:6" ht="18.75" x14ac:dyDescent="0.3">
      <c r="A317" s="3"/>
      <c r="B317" s="4"/>
      <c r="C317" s="5"/>
      <c r="D317" s="5"/>
      <c r="E317" s="3"/>
      <c r="F317" s="10"/>
    </row>
    <row r="318" spans="1:6" ht="18.75" x14ac:dyDescent="0.3">
      <c r="A318" s="3"/>
      <c r="B318" s="4"/>
      <c r="C318" s="5"/>
      <c r="D318" s="5"/>
      <c r="E318" s="3"/>
    </row>
    <row r="319" spans="1:6" ht="18.75" x14ac:dyDescent="0.3">
      <c r="A319" s="3"/>
      <c r="B319" s="4"/>
      <c r="C319" s="5"/>
      <c r="D319" s="5"/>
      <c r="E319" s="3"/>
    </row>
    <row r="320" spans="1:6" ht="18.75" x14ac:dyDescent="0.3">
      <c r="A320" s="3"/>
      <c r="B320" s="4"/>
      <c r="C320" s="5"/>
      <c r="D320" s="5"/>
      <c r="E320" s="3"/>
    </row>
    <row r="321" spans="1:7" ht="18.75" x14ac:dyDescent="0.3">
      <c r="A321" s="3"/>
      <c r="B321" s="4"/>
      <c r="C321" s="5"/>
      <c r="D321" s="5"/>
      <c r="E321" s="3"/>
    </row>
    <row r="322" spans="1:7" ht="18.75" x14ac:dyDescent="0.3">
      <c r="A322" s="3"/>
      <c r="B322" s="4"/>
      <c r="C322" s="5"/>
      <c r="D322" s="5"/>
      <c r="E322" s="3"/>
    </row>
    <row r="323" spans="1:7" ht="18.75" x14ac:dyDescent="0.3">
      <c r="A323" s="3"/>
      <c r="B323" s="4"/>
      <c r="C323" s="5"/>
      <c r="D323" s="5"/>
    </row>
    <row r="324" spans="1:7" ht="18.75" x14ac:dyDescent="0.3">
      <c r="A324" s="3"/>
      <c r="B324" s="4"/>
      <c r="C324" s="5"/>
      <c r="D324" s="5"/>
    </row>
    <row r="328" spans="1:7" ht="18.75" x14ac:dyDescent="0.3">
      <c r="A328" s="35" t="s">
        <v>0</v>
      </c>
      <c r="B328" s="35" t="s">
        <v>1</v>
      </c>
      <c r="C328" s="35" t="s">
        <v>2</v>
      </c>
      <c r="D328" s="35" t="s">
        <v>3</v>
      </c>
      <c r="E328" s="35" t="s">
        <v>4</v>
      </c>
      <c r="F328" s="35" t="s">
        <v>5</v>
      </c>
      <c r="G328" s="35" t="s">
        <v>6</v>
      </c>
    </row>
    <row r="329" spans="1:7" ht="18.75" x14ac:dyDescent="0.3">
      <c r="A329" s="22">
        <v>9</v>
      </c>
      <c r="B329" s="22" t="s">
        <v>54</v>
      </c>
      <c r="C329" s="23" t="s">
        <v>506</v>
      </c>
      <c r="D329" s="24">
        <v>672</v>
      </c>
      <c r="E329" s="22">
        <v>900</v>
      </c>
      <c r="F329" s="25" t="s">
        <v>537</v>
      </c>
      <c r="G329" s="26">
        <f>D329*E329</f>
        <v>604800</v>
      </c>
    </row>
    <row r="330" spans="1:7" ht="18.75" x14ac:dyDescent="0.3">
      <c r="A330" s="1" t="s">
        <v>7</v>
      </c>
      <c r="B330" s="7">
        <v>5.4</v>
      </c>
      <c r="C330" s="48" t="s">
        <v>3</v>
      </c>
      <c r="D330" s="48" t="s">
        <v>8</v>
      </c>
      <c r="E330" s="46">
        <v>362880</v>
      </c>
      <c r="F330" s="10"/>
      <c r="G330" s="11">
        <v>241920</v>
      </c>
    </row>
    <row r="331" spans="1:7" ht="18.75" x14ac:dyDescent="0.3">
      <c r="A331" s="2" t="s">
        <v>486</v>
      </c>
      <c r="B331" s="12">
        <v>43</v>
      </c>
      <c r="C331" s="5">
        <v>672</v>
      </c>
      <c r="D331" s="50">
        <f t="shared" ref="D331:D339" si="8">B331*C331</f>
        <v>28896</v>
      </c>
      <c r="E331" s="21">
        <v>0.6</v>
      </c>
      <c r="F331" s="10"/>
      <c r="G331" s="21">
        <v>0.4</v>
      </c>
    </row>
    <row r="332" spans="1:7" ht="18.75" x14ac:dyDescent="0.3">
      <c r="A332" s="2" t="s">
        <v>487</v>
      </c>
      <c r="B332" s="12">
        <v>43</v>
      </c>
      <c r="C332" s="3">
        <v>672</v>
      </c>
      <c r="D332" s="50">
        <f t="shared" si="8"/>
        <v>28896</v>
      </c>
      <c r="E332" s="10"/>
      <c r="F332" s="10"/>
      <c r="G332" s="10"/>
    </row>
    <row r="333" spans="1:7" ht="18.75" x14ac:dyDescent="0.3">
      <c r="A333" s="2" t="s">
        <v>86</v>
      </c>
      <c r="B333" s="12">
        <v>52.7</v>
      </c>
      <c r="C333" s="3">
        <v>672</v>
      </c>
      <c r="D333" s="50">
        <f t="shared" si="8"/>
        <v>35414.400000000001</v>
      </c>
      <c r="E333" s="10"/>
      <c r="F333" s="10"/>
      <c r="G333" s="10"/>
    </row>
    <row r="334" spans="1:7" ht="18.75" x14ac:dyDescent="0.3">
      <c r="A334" s="2" t="s">
        <v>488</v>
      </c>
      <c r="B334" s="12">
        <v>60</v>
      </c>
      <c r="C334" s="5">
        <v>672</v>
      </c>
      <c r="D334" s="50">
        <f t="shared" si="8"/>
        <v>40320</v>
      </c>
      <c r="E334" s="10"/>
      <c r="F334" s="10"/>
      <c r="G334" s="10"/>
    </row>
    <row r="335" spans="1:7" ht="18.75" x14ac:dyDescent="0.3">
      <c r="A335" s="2" t="s">
        <v>61</v>
      </c>
      <c r="B335" s="12">
        <v>70</v>
      </c>
      <c r="C335" s="3">
        <v>672</v>
      </c>
      <c r="D335" s="50">
        <f t="shared" si="8"/>
        <v>47040</v>
      </c>
      <c r="E335" s="10"/>
      <c r="F335" s="10"/>
      <c r="G335" s="14">
        <f>E330-D345-D346-D347-D348-D349-D350-D351-D352-D353-D354-D355-D356-D357</f>
        <v>0</v>
      </c>
    </row>
    <row r="336" spans="1:7" ht="18.75" x14ac:dyDescent="0.3">
      <c r="A336" s="2" t="s">
        <v>339</v>
      </c>
      <c r="B336" s="12">
        <v>65</v>
      </c>
      <c r="C336" s="3">
        <v>672</v>
      </c>
      <c r="D336" s="50">
        <f t="shared" si="8"/>
        <v>43680</v>
      </c>
      <c r="E336" s="10"/>
      <c r="F336" s="10"/>
      <c r="G336" s="10"/>
    </row>
    <row r="337" spans="1:6" ht="18.75" x14ac:dyDescent="0.3">
      <c r="A337" s="2" t="s">
        <v>417</v>
      </c>
      <c r="B337" s="12">
        <v>55</v>
      </c>
      <c r="C337" s="3">
        <v>672</v>
      </c>
      <c r="D337" s="50">
        <f t="shared" si="8"/>
        <v>36960</v>
      </c>
      <c r="E337" s="10"/>
      <c r="F337" s="10"/>
    </row>
    <row r="338" spans="1:6" ht="18.75" x14ac:dyDescent="0.3">
      <c r="A338" s="2" t="s">
        <v>41</v>
      </c>
      <c r="B338" s="15">
        <v>108.3</v>
      </c>
      <c r="C338" s="3">
        <v>672</v>
      </c>
      <c r="D338" s="50">
        <f t="shared" si="8"/>
        <v>72777.599999999991</v>
      </c>
      <c r="E338" s="10"/>
      <c r="F338" s="10"/>
    </row>
    <row r="339" spans="1:6" ht="18.75" x14ac:dyDescent="0.3">
      <c r="A339" s="2" t="s">
        <v>101</v>
      </c>
      <c r="B339" s="15">
        <v>43</v>
      </c>
      <c r="C339" s="3">
        <v>672</v>
      </c>
      <c r="D339" s="50">
        <f t="shared" si="8"/>
        <v>28896</v>
      </c>
      <c r="E339" s="10"/>
      <c r="F339" s="16"/>
    </row>
    <row r="340" spans="1:6" ht="18.75" x14ac:dyDescent="0.3">
      <c r="A340" s="2"/>
      <c r="B340" s="15"/>
      <c r="C340" s="3"/>
      <c r="D340" s="50"/>
      <c r="E340" s="10"/>
      <c r="F340" s="17"/>
    </row>
    <row r="341" spans="1:6" ht="18.75" x14ac:dyDescent="0.3">
      <c r="A341" s="2"/>
      <c r="B341" s="12"/>
      <c r="C341" s="3"/>
      <c r="D341" s="50"/>
      <c r="E341" s="10"/>
      <c r="F341" s="10"/>
    </row>
    <row r="342" spans="1:6" ht="18.75" x14ac:dyDescent="0.3">
      <c r="A342" s="2"/>
      <c r="B342" s="12"/>
      <c r="C342" s="3"/>
      <c r="D342" s="50"/>
      <c r="E342" s="10"/>
      <c r="F342" s="10"/>
    </row>
    <row r="343" spans="1:6" ht="18.75" x14ac:dyDescent="0.3">
      <c r="A343" s="18"/>
      <c r="B343" s="19"/>
      <c r="C343" s="20"/>
      <c r="D343" s="13"/>
      <c r="E343" s="10"/>
      <c r="F343" s="10"/>
    </row>
    <row r="344" spans="1:6" ht="18.75" x14ac:dyDescent="0.3">
      <c r="A344" s="1" t="s">
        <v>10</v>
      </c>
      <c r="B344" s="1" t="s">
        <v>11</v>
      </c>
      <c r="C344" s="1" t="s">
        <v>12</v>
      </c>
      <c r="D344" s="1" t="s">
        <v>13</v>
      </c>
      <c r="E344" s="1" t="s">
        <v>14</v>
      </c>
      <c r="F344" s="10"/>
    </row>
    <row r="345" spans="1:6" ht="18.75" x14ac:dyDescent="0.3">
      <c r="A345" s="3" t="s">
        <v>104</v>
      </c>
      <c r="B345" s="4" t="s">
        <v>489</v>
      </c>
      <c r="C345" s="3">
        <v>336</v>
      </c>
      <c r="D345" s="58">
        <v>14448</v>
      </c>
      <c r="E345" s="3"/>
      <c r="F345" s="10"/>
    </row>
    <row r="346" spans="1:6" ht="18.75" x14ac:dyDescent="0.3">
      <c r="A346" s="3" t="s">
        <v>16</v>
      </c>
      <c r="B346" s="4" t="s">
        <v>490</v>
      </c>
      <c r="C346" s="3">
        <v>336</v>
      </c>
      <c r="D346" s="58">
        <v>14448</v>
      </c>
      <c r="E346" s="5"/>
      <c r="F346" s="10"/>
    </row>
    <row r="347" spans="1:6" ht="18.75" x14ac:dyDescent="0.3">
      <c r="A347" s="3" t="s">
        <v>15</v>
      </c>
      <c r="B347" s="4" t="s">
        <v>489</v>
      </c>
      <c r="C347" s="3">
        <v>336</v>
      </c>
      <c r="D347" s="58">
        <v>14448</v>
      </c>
      <c r="E347" s="5"/>
      <c r="F347" s="10"/>
    </row>
    <row r="348" spans="1:6" ht="18.75" x14ac:dyDescent="0.3">
      <c r="A348" s="3" t="s">
        <v>15</v>
      </c>
      <c r="B348" s="4" t="s">
        <v>490</v>
      </c>
      <c r="C348" s="5">
        <v>336</v>
      </c>
      <c r="D348" s="58">
        <v>14448</v>
      </c>
      <c r="E348" s="3"/>
      <c r="F348" s="10"/>
    </row>
    <row r="349" spans="1:6" ht="18.75" x14ac:dyDescent="0.3">
      <c r="A349" s="6" t="s">
        <v>17</v>
      </c>
      <c r="B349" s="4" t="s">
        <v>491</v>
      </c>
      <c r="C349" s="3">
        <v>672</v>
      </c>
      <c r="D349" s="58">
        <v>47040</v>
      </c>
      <c r="E349" s="5"/>
      <c r="F349" s="10"/>
    </row>
    <row r="350" spans="1:6" ht="18.75" x14ac:dyDescent="0.3">
      <c r="A350" s="3" t="s">
        <v>42</v>
      </c>
      <c r="B350" s="4" t="s">
        <v>492</v>
      </c>
      <c r="C350" s="3">
        <v>672</v>
      </c>
      <c r="D350" s="58">
        <v>40320</v>
      </c>
      <c r="E350" s="5"/>
      <c r="F350" s="10"/>
    </row>
    <row r="351" spans="1:6" ht="18.75" x14ac:dyDescent="0.3">
      <c r="A351" s="3" t="s">
        <v>379</v>
      </c>
      <c r="B351" s="4" t="s">
        <v>339</v>
      </c>
      <c r="C351" s="3">
        <v>672</v>
      </c>
      <c r="D351" s="58">
        <v>43680</v>
      </c>
      <c r="E351" s="5"/>
      <c r="F351" s="10"/>
    </row>
    <row r="352" spans="1:6" ht="18.75" x14ac:dyDescent="0.3">
      <c r="A352" s="3" t="s">
        <v>493</v>
      </c>
      <c r="B352" s="4" t="s">
        <v>405</v>
      </c>
      <c r="C352" s="3">
        <v>672</v>
      </c>
      <c r="D352" s="58">
        <v>72778</v>
      </c>
      <c r="E352" s="3"/>
      <c r="F352" s="10"/>
    </row>
    <row r="353" spans="1:7" ht="18.75" x14ac:dyDescent="0.3">
      <c r="A353" s="3" t="s">
        <v>104</v>
      </c>
      <c r="B353" s="4" t="s">
        <v>494</v>
      </c>
      <c r="C353" s="3">
        <v>672</v>
      </c>
      <c r="D353" s="58">
        <v>28896</v>
      </c>
      <c r="E353" s="3"/>
      <c r="F353" s="10"/>
    </row>
    <row r="354" spans="1:7" ht="18.75" x14ac:dyDescent="0.3">
      <c r="A354" s="3" t="s">
        <v>16</v>
      </c>
      <c r="B354" s="4" t="s">
        <v>495</v>
      </c>
      <c r="C354" s="3">
        <v>336</v>
      </c>
      <c r="D354" s="58">
        <v>18480</v>
      </c>
      <c r="E354" s="3"/>
      <c r="F354" s="10"/>
    </row>
    <row r="355" spans="1:7" ht="18.75" x14ac:dyDescent="0.3">
      <c r="A355" s="3" t="s">
        <v>16</v>
      </c>
      <c r="B355" s="4" t="s">
        <v>496</v>
      </c>
      <c r="C355" s="3">
        <v>336</v>
      </c>
      <c r="D355" s="58">
        <v>17707</v>
      </c>
      <c r="E355" s="3"/>
      <c r="F355" s="10"/>
    </row>
    <row r="356" spans="1:7" ht="18.75" x14ac:dyDescent="0.3">
      <c r="A356" s="3" t="s">
        <v>15</v>
      </c>
      <c r="B356" s="4" t="s">
        <v>495</v>
      </c>
      <c r="C356" s="3">
        <v>336</v>
      </c>
      <c r="D356" s="58">
        <v>18480</v>
      </c>
      <c r="E356" s="3"/>
      <c r="F356" s="10"/>
    </row>
    <row r="357" spans="1:7" ht="18.75" x14ac:dyDescent="0.3">
      <c r="A357" s="3" t="s">
        <v>15</v>
      </c>
      <c r="B357" s="4" t="s">
        <v>496</v>
      </c>
      <c r="C357" s="3">
        <v>336</v>
      </c>
      <c r="D357" s="5">
        <v>17707</v>
      </c>
      <c r="E357" s="3" t="s">
        <v>249</v>
      </c>
      <c r="F357" s="10"/>
    </row>
    <row r="358" spans="1:7" ht="18.75" x14ac:dyDescent="0.3">
      <c r="A358" s="3"/>
      <c r="B358" s="4"/>
      <c r="C358" s="3"/>
      <c r="D358" s="5"/>
      <c r="E358" s="3"/>
      <c r="F358" s="10"/>
    </row>
    <row r="362" spans="1:7" ht="18.75" x14ac:dyDescent="0.3">
      <c r="A362" s="35" t="s">
        <v>0</v>
      </c>
      <c r="B362" s="35" t="s">
        <v>1</v>
      </c>
      <c r="C362" s="35" t="s">
        <v>2</v>
      </c>
      <c r="D362" s="35" t="s">
        <v>3</v>
      </c>
      <c r="E362" s="35" t="s">
        <v>4</v>
      </c>
      <c r="F362" s="35" t="s">
        <v>5</v>
      </c>
      <c r="G362" s="35" t="s">
        <v>6</v>
      </c>
    </row>
    <row r="363" spans="1:7" ht="18.75" x14ac:dyDescent="0.3">
      <c r="A363" s="22">
        <v>10</v>
      </c>
      <c r="B363" s="22" t="s">
        <v>54</v>
      </c>
      <c r="C363" s="23" t="s">
        <v>536</v>
      </c>
      <c r="D363" s="24">
        <v>672</v>
      </c>
      <c r="E363" s="22">
        <v>900</v>
      </c>
      <c r="F363" s="25" t="s">
        <v>535</v>
      </c>
      <c r="G363" s="26">
        <f>D363*E363</f>
        <v>604800</v>
      </c>
    </row>
    <row r="364" spans="1:7" ht="18.75" x14ac:dyDescent="0.3">
      <c r="A364" s="1" t="s">
        <v>7</v>
      </c>
      <c r="B364" s="7">
        <v>5.4</v>
      </c>
      <c r="C364" s="48" t="s">
        <v>3</v>
      </c>
      <c r="D364" s="48" t="s">
        <v>8</v>
      </c>
      <c r="E364" s="46">
        <v>362880</v>
      </c>
      <c r="F364" s="10"/>
      <c r="G364" s="11">
        <v>241920</v>
      </c>
    </row>
    <row r="365" spans="1:7" ht="18.75" x14ac:dyDescent="0.3">
      <c r="A365" s="2" t="s">
        <v>486</v>
      </c>
      <c r="B365" s="12">
        <v>43</v>
      </c>
      <c r="C365" s="5">
        <v>336</v>
      </c>
      <c r="D365" s="50">
        <f t="shared" ref="D365:D373" si="9">B365*C365</f>
        <v>14448</v>
      </c>
      <c r="E365" s="21">
        <v>0.6</v>
      </c>
      <c r="F365" s="10"/>
      <c r="G365" s="21">
        <v>0.4</v>
      </c>
    </row>
    <row r="366" spans="1:7" ht="18.75" x14ac:dyDescent="0.3">
      <c r="A366" s="2" t="s">
        <v>487</v>
      </c>
      <c r="B366" s="12">
        <v>43</v>
      </c>
      <c r="C366" s="3">
        <v>336</v>
      </c>
      <c r="D366" s="50">
        <f t="shared" si="9"/>
        <v>14448</v>
      </c>
      <c r="E366" s="10"/>
      <c r="F366" s="10"/>
      <c r="G366" s="10"/>
    </row>
    <row r="367" spans="1:7" ht="18.75" x14ac:dyDescent="0.3">
      <c r="A367" s="2" t="s">
        <v>86</v>
      </c>
      <c r="B367" s="12">
        <v>52.7</v>
      </c>
      <c r="C367" s="3">
        <v>336</v>
      </c>
      <c r="D367" s="50">
        <f t="shared" si="9"/>
        <v>17707.2</v>
      </c>
      <c r="E367" s="10"/>
      <c r="F367" s="10"/>
      <c r="G367" s="10"/>
    </row>
    <row r="368" spans="1:7" ht="18.75" x14ac:dyDescent="0.3">
      <c r="A368" s="2" t="s">
        <v>488</v>
      </c>
      <c r="B368" s="12">
        <v>60</v>
      </c>
      <c r="C368" s="5">
        <v>672</v>
      </c>
      <c r="D368" s="50">
        <f t="shared" si="9"/>
        <v>40320</v>
      </c>
      <c r="E368" s="10"/>
      <c r="F368" s="10"/>
      <c r="G368" s="10"/>
    </row>
    <row r="369" spans="1:7" ht="18.75" x14ac:dyDescent="0.3">
      <c r="A369" s="2" t="s">
        <v>61</v>
      </c>
      <c r="B369" s="12">
        <v>70</v>
      </c>
      <c r="C369" s="3">
        <v>672</v>
      </c>
      <c r="D369" s="50">
        <f t="shared" si="9"/>
        <v>47040</v>
      </c>
      <c r="E369" s="10"/>
      <c r="F369" s="10"/>
      <c r="G369" s="14">
        <f>E364-D379-D380-D381-D382-D383-D384-D385-D386-D387-D388-D389-D390-D391-D392-D393-D394-D395-D396-D397-D398-D399-D400-D401-D401</f>
        <v>0</v>
      </c>
    </row>
    <row r="370" spans="1:7" ht="18.75" x14ac:dyDescent="0.3">
      <c r="A370" s="2" t="s">
        <v>339</v>
      </c>
      <c r="B370" s="12">
        <v>65</v>
      </c>
      <c r="C370" s="3">
        <v>672</v>
      </c>
      <c r="D370" s="50">
        <f t="shared" si="9"/>
        <v>43680</v>
      </c>
      <c r="E370" s="10"/>
      <c r="F370" s="10"/>
      <c r="G370" s="10"/>
    </row>
    <row r="371" spans="1:7" ht="18.75" x14ac:dyDescent="0.3">
      <c r="A371" s="2" t="s">
        <v>417</v>
      </c>
      <c r="B371" s="12">
        <v>55</v>
      </c>
      <c r="C371" s="3">
        <v>336</v>
      </c>
      <c r="D371" s="50">
        <f t="shared" si="9"/>
        <v>18480</v>
      </c>
      <c r="E371" s="10"/>
      <c r="F371" s="10"/>
    </row>
    <row r="372" spans="1:7" ht="18.75" x14ac:dyDescent="0.3">
      <c r="A372" s="2" t="s">
        <v>41</v>
      </c>
      <c r="B372" s="15">
        <v>108.3</v>
      </c>
      <c r="C372" s="3">
        <v>672</v>
      </c>
      <c r="D372" s="50">
        <f t="shared" si="9"/>
        <v>72777.599999999991</v>
      </c>
      <c r="E372" s="10"/>
      <c r="F372" s="10"/>
    </row>
    <row r="373" spans="1:7" ht="18.75" x14ac:dyDescent="0.3">
      <c r="A373" s="2" t="s">
        <v>101</v>
      </c>
      <c r="B373" s="15">
        <v>43</v>
      </c>
      <c r="C373" s="3">
        <v>672</v>
      </c>
      <c r="D373" s="50">
        <f t="shared" si="9"/>
        <v>28896</v>
      </c>
      <c r="E373" s="10"/>
      <c r="F373" s="16"/>
    </row>
    <row r="374" spans="1:7" ht="18.75" x14ac:dyDescent="0.3">
      <c r="A374" s="2"/>
      <c r="B374" s="15"/>
      <c r="C374" s="3"/>
      <c r="D374" s="50"/>
      <c r="E374" s="10"/>
      <c r="F374" s="17"/>
    </row>
    <row r="375" spans="1:7" ht="18.75" x14ac:dyDescent="0.3">
      <c r="A375" s="2"/>
      <c r="B375" s="12"/>
      <c r="C375" s="3"/>
      <c r="D375" s="50"/>
      <c r="E375" s="10"/>
      <c r="F375" s="10"/>
    </row>
    <row r="376" spans="1:7" ht="18.75" x14ac:dyDescent="0.3">
      <c r="A376" s="2"/>
      <c r="B376" s="12"/>
      <c r="C376" s="3"/>
      <c r="D376" s="50"/>
      <c r="E376" s="10"/>
      <c r="F376" s="10"/>
    </row>
    <row r="377" spans="1:7" ht="18.75" x14ac:dyDescent="0.3">
      <c r="A377" s="18"/>
      <c r="B377" s="19"/>
      <c r="C377" s="20"/>
      <c r="D377" s="13"/>
      <c r="E377" s="10"/>
      <c r="F377" s="10"/>
    </row>
    <row r="378" spans="1:7" ht="18.75" x14ac:dyDescent="0.3">
      <c r="A378" s="1" t="s">
        <v>10</v>
      </c>
      <c r="B378" s="1" t="s">
        <v>11</v>
      </c>
      <c r="C378" s="1" t="s">
        <v>12</v>
      </c>
      <c r="D378" s="1" t="s">
        <v>13</v>
      </c>
      <c r="E378" s="1" t="s">
        <v>14</v>
      </c>
      <c r="F378" s="10"/>
    </row>
    <row r="379" spans="1:7" ht="18.75" x14ac:dyDescent="0.3">
      <c r="A379" s="3" t="s">
        <v>16</v>
      </c>
      <c r="B379" s="4" t="s">
        <v>543</v>
      </c>
      <c r="C379" s="3">
        <v>336</v>
      </c>
      <c r="D379" s="58">
        <v>14448</v>
      </c>
      <c r="E379" s="3"/>
      <c r="F379" s="10"/>
    </row>
    <row r="380" spans="1:7" ht="18.75" x14ac:dyDescent="0.3">
      <c r="A380" s="3" t="s">
        <v>16</v>
      </c>
      <c r="B380" s="4" t="s">
        <v>544</v>
      </c>
      <c r="C380" s="3">
        <v>336</v>
      </c>
      <c r="D380" s="58">
        <v>14448</v>
      </c>
      <c r="E380" s="5"/>
      <c r="F380" s="10"/>
    </row>
    <row r="381" spans="1:7" ht="18.75" x14ac:dyDescent="0.3">
      <c r="A381" s="3" t="s">
        <v>16</v>
      </c>
      <c r="B381" s="4" t="s">
        <v>551</v>
      </c>
      <c r="C381" s="3">
        <v>336</v>
      </c>
      <c r="D381" s="58">
        <v>18480</v>
      </c>
      <c r="E381" s="5"/>
      <c r="F381" s="10"/>
    </row>
    <row r="382" spans="1:7" ht="18.75" x14ac:dyDescent="0.3">
      <c r="A382" s="3" t="s">
        <v>16</v>
      </c>
      <c r="B382" s="4" t="s">
        <v>545</v>
      </c>
      <c r="C382" s="5">
        <v>336</v>
      </c>
      <c r="D382" s="58">
        <v>17707</v>
      </c>
      <c r="E382" s="3"/>
      <c r="F382" s="10"/>
    </row>
    <row r="383" spans="1:7" ht="18.75" x14ac:dyDescent="0.3">
      <c r="A383" s="6" t="s">
        <v>17</v>
      </c>
      <c r="B383" s="4" t="s">
        <v>538</v>
      </c>
      <c r="C383" s="3">
        <v>672</v>
      </c>
      <c r="D383" s="58">
        <v>47040</v>
      </c>
      <c r="E383" s="5"/>
      <c r="F383" s="10"/>
    </row>
    <row r="384" spans="1:7" ht="18.75" x14ac:dyDescent="0.3">
      <c r="A384" s="3" t="s">
        <v>42</v>
      </c>
      <c r="B384" s="4" t="s">
        <v>546</v>
      </c>
      <c r="C384" s="3">
        <v>672</v>
      </c>
      <c r="D384" s="58">
        <v>40320</v>
      </c>
      <c r="E384" s="5"/>
      <c r="F384" s="10"/>
    </row>
    <row r="385" spans="1:6" ht="18.75" x14ac:dyDescent="0.3">
      <c r="A385" s="3" t="s">
        <v>16</v>
      </c>
      <c r="B385" s="4" t="s">
        <v>547</v>
      </c>
      <c r="C385" s="3">
        <v>336</v>
      </c>
      <c r="D385" s="58">
        <v>14448</v>
      </c>
      <c r="E385" s="5"/>
      <c r="F385" s="10"/>
    </row>
    <row r="386" spans="1:6" ht="18.75" x14ac:dyDescent="0.3">
      <c r="A386" s="3" t="s">
        <v>42</v>
      </c>
      <c r="B386" s="4" t="s">
        <v>548</v>
      </c>
      <c r="C386" s="3">
        <v>336</v>
      </c>
      <c r="D386" s="58">
        <v>14448</v>
      </c>
      <c r="E386" s="3"/>
      <c r="F386" s="10"/>
    </row>
    <row r="387" spans="1:6" ht="18.75" x14ac:dyDescent="0.3">
      <c r="A387" s="3" t="s">
        <v>42</v>
      </c>
      <c r="B387" s="4" t="s">
        <v>549</v>
      </c>
      <c r="C387" s="3">
        <v>336</v>
      </c>
      <c r="D387" s="58">
        <v>18480</v>
      </c>
      <c r="E387" s="3"/>
      <c r="F387" s="10"/>
    </row>
    <row r="388" spans="1:6" ht="18.75" x14ac:dyDescent="0.3">
      <c r="A388" s="3" t="s">
        <v>42</v>
      </c>
      <c r="B388" s="4" t="s">
        <v>550</v>
      </c>
      <c r="C388" s="3">
        <v>336</v>
      </c>
      <c r="D388" s="58">
        <v>17707</v>
      </c>
      <c r="E388" s="3"/>
      <c r="F388" s="10"/>
    </row>
    <row r="389" spans="1:6" ht="18.75" x14ac:dyDescent="0.3">
      <c r="A389" s="3" t="s">
        <v>379</v>
      </c>
      <c r="B389" s="4" t="s">
        <v>552</v>
      </c>
      <c r="C389" s="3">
        <v>672</v>
      </c>
      <c r="D389" s="58">
        <v>43680</v>
      </c>
      <c r="E389" s="3"/>
      <c r="F389" s="10"/>
    </row>
    <row r="390" spans="1:6" ht="18.75" x14ac:dyDescent="0.3">
      <c r="A390" s="3" t="s">
        <v>104</v>
      </c>
      <c r="B390" s="4" t="s">
        <v>553</v>
      </c>
      <c r="C390" s="3">
        <v>672</v>
      </c>
      <c r="D390" s="58">
        <v>28896</v>
      </c>
      <c r="E390" s="3"/>
      <c r="F390" s="10"/>
    </row>
    <row r="391" spans="1:6" ht="18.75" x14ac:dyDescent="0.3">
      <c r="A391" s="3" t="s">
        <v>185</v>
      </c>
      <c r="B391" s="4" t="s">
        <v>554</v>
      </c>
      <c r="C391" s="3">
        <v>672</v>
      </c>
      <c r="D391" s="5">
        <v>72778</v>
      </c>
      <c r="E391" s="3" t="s">
        <v>249</v>
      </c>
      <c r="F391" s="10"/>
    </row>
    <row r="392" spans="1:6" ht="18.75" x14ac:dyDescent="0.3">
      <c r="A392" s="3"/>
      <c r="B392" s="4"/>
      <c r="C392" s="3"/>
      <c r="D392" s="5"/>
      <c r="E392" s="3"/>
      <c r="F392" s="10"/>
    </row>
    <row r="393" spans="1:6" ht="18.75" x14ac:dyDescent="0.3">
      <c r="A393" s="3"/>
      <c r="B393" s="4"/>
      <c r="C393" s="3"/>
      <c r="D393" s="5"/>
      <c r="E393" s="3"/>
      <c r="F393" s="10"/>
    </row>
    <row r="394" spans="1:6" ht="18.75" x14ac:dyDescent="0.3">
      <c r="A394" s="3"/>
      <c r="B394" s="4"/>
      <c r="C394" s="5"/>
      <c r="D394" s="5"/>
      <c r="E394" s="3"/>
      <c r="F394" s="10"/>
    </row>
    <row r="395" spans="1:6" ht="18.75" x14ac:dyDescent="0.3">
      <c r="A395" s="3"/>
      <c r="B395" s="4"/>
      <c r="C395" s="5"/>
      <c r="D395" s="5"/>
      <c r="E395" s="3"/>
    </row>
    <row r="396" spans="1:6" ht="18.75" x14ac:dyDescent="0.3">
      <c r="A396" s="3"/>
      <c r="B396" s="4"/>
      <c r="C396" s="5"/>
      <c r="D396" s="5"/>
      <c r="E396" s="3"/>
    </row>
    <row r="397" spans="1:6" ht="18.75" x14ac:dyDescent="0.3">
      <c r="A397" s="3"/>
      <c r="B397" s="4"/>
      <c r="C397" s="5"/>
      <c r="D397" s="5"/>
      <c r="E397" s="3"/>
    </row>
    <row r="398" spans="1:6" ht="18.75" x14ac:dyDescent="0.3">
      <c r="A398" s="3"/>
      <c r="B398" s="4"/>
      <c r="C398" s="5"/>
      <c r="D398" s="5"/>
      <c r="E398" s="3"/>
    </row>
    <row r="399" spans="1:6" ht="18.75" x14ac:dyDescent="0.3">
      <c r="A399" s="3"/>
      <c r="B399" s="4"/>
      <c r="C399" s="5"/>
      <c r="D399" s="5"/>
      <c r="E399" s="3"/>
    </row>
    <row r="400" spans="1:6" ht="18.75" x14ac:dyDescent="0.3">
      <c r="A400" s="3"/>
      <c r="B400" s="4"/>
      <c r="C400" s="5"/>
      <c r="D400" s="5"/>
    </row>
    <row r="401" spans="1:7" ht="18.75" x14ac:dyDescent="0.3">
      <c r="A401" s="3"/>
      <c r="B401" s="4"/>
      <c r="C401" s="5"/>
      <c r="D401" s="5"/>
    </row>
    <row r="403" spans="1:7" x14ac:dyDescent="0.25">
      <c r="B403" s="134" t="s">
        <v>505</v>
      </c>
      <c r="C403" s="134"/>
      <c r="D403" s="134"/>
    </row>
    <row r="404" spans="1:7" x14ac:dyDescent="0.25">
      <c r="B404" s="134"/>
      <c r="C404" s="134"/>
      <c r="D404" s="134"/>
    </row>
    <row r="405" spans="1:7" ht="18.75" x14ac:dyDescent="0.3">
      <c r="A405" s="35" t="s">
        <v>0</v>
      </c>
      <c r="B405" s="35" t="s">
        <v>1</v>
      </c>
      <c r="C405" s="35" t="s">
        <v>2</v>
      </c>
      <c r="D405" s="35" t="s">
        <v>3</v>
      </c>
      <c r="E405" s="35" t="s">
        <v>4</v>
      </c>
      <c r="F405" s="35" t="s">
        <v>5</v>
      </c>
      <c r="G405" s="35" t="s">
        <v>6</v>
      </c>
    </row>
    <row r="406" spans="1:7" ht="18.75" x14ac:dyDescent="0.3">
      <c r="A406" s="22">
        <v>11</v>
      </c>
      <c r="B406" s="22" t="s">
        <v>54</v>
      </c>
      <c r="C406" s="23" t="s">
        <v>576</v>
      </c>
      <c r="D406" s="24">
        <v>672</v>
      </c>
      <c r="E406" s="22">
        <v>1100</v>
      </c>
      <c r="F406" s="25" t="s">
        <v>580</v>
      </c>
      <c r="G406" s="26">
        <v>739200</v>
      </c>
    </row>
    <row r="407" spans="1:7" ht="18.75" x14ac:dyDescent="0.3">
      <c r="A407" s="1" t="s">
        <v>7</v>
      </c>
      <c r="B407" s="7">
        <v>8.69</v>
      </c>
      <c r="C407" s="48" t="s">
        <v>3</v>
      </c>
      <c r="D407" s="48" t="s">
        <v>8</v>
      </c>
      <c r="E407" s="46">
        <v>583968</v>
      </c>
      <c r="F407" s="10"/>
      <c r="G407" s="11">
        <v>155232</v>
      </c>
    </row>
    <row r="408" spans="1:7" ht="18.75" x14ac:dyDescent="0.3">
      <c r="A408" s="2" t="s">
        <v>78</v>
      </c>
      <c r="B408" s="12">
        <v>150</v>
      </c>
      <c r="C408" s="5">
        <v>336</v>
      </c>
      <c r="D408" s="50">
        <f t="shared" ref="D408:D416" si="10">B408*C408</f>
        <v>50400</v>
      </c>
      <c r="E408" s="21">
        <v>0.6</v>
      </c>
      <c r="F408" s="10"/>
      <c r="G408" s="21">
        <v>0.4</v>
      </c>
    </row>
    <row r="409" spans="1:7" ht="18.75" x14ac:dyDescent="0.3">
      <c r="A409" s="2" t="s">
        <v>79</v>
      </c>
      <c r="B409" s="12">
        <v>80</v>
      </c>
      <c r="C409" s="3">
        <v>336</v>
      </c>
      <c r="D409" s="50">
        <f t="shared" si="10"/>
        <v>26880</v>
      </c>
      <c r="E409" s="10"/>
      <c r="F409" s="10"/>
      <c r="G409" s="10"/>
    </row>
    <row r="410" spans="1:7" ht="18.75" x14ac:dyDescent="0.3">
      <c r="A410" s="2" t="s">
        <v>80</v>
      </c>
      <c r="B410" s="12">
        <v>65</v>
      </c>
      <c r="C410" s="3">
        <v>336</v>
      </c>
      <c r="D410" s="50">
        <f t="shared" si="10"/>
        <v>21840</v>
      </c>
      <c r="E410" s="10"/>
      <c r="F410" s="10"/>
      <c r="G410" s="10"/>
    </row>
    <row r="411" spans="1:7" ht="18.75" x14ac:dyDescent="0.3">
      <c r="A411" s="2" t="s">
        <v>75</v>
      </c>
      <c r="B411" s="12">
        <v>66</v>
      </c>
      <c r="C411" s="5">
        <v>672</v>
      </c>
      <c r="D411" s="50">
        <f t="shared" si="10"/>
        <v>44352</v>
      </c>
      <c r="E411" s="10"/>
      <c r="F411" s="10"/>
      <c r="G411" s="10"/>
    </row>
    <row r="412" spans="1:7" ht="18.75" x14ac:dyDescent="0.3">
      <c r="A412" s="2" t="s">
        <v>81</v>
      </c>
      <c r="B412" s="12">
        <v>64</v>
      </c>
      <c r="C412" s="3">
        <v>672</v>
      </c>
      <c r="D412" s="50">
        <f t="shared" si="10"/>
        <v>43008</v>
      </c>
      <c r="E412" s="10"/>
      <c r="F412" s="10"/>
      <c r="G412" s="14">
        <f>E407-D422-D423-D424-D425-D426-D427-D428-D429-D430-D431-D432-D433-D434-D435-D436-D437-D438-D439-D440-D441-D442-D443-D444-D444</f>
        <v>0</v>
      </c>
    </row>
    <row r="413" spans="1:7" ht="18.75" x14ac:dyDescent="0.3">
      <c r="A413" s="2" t="s">
        <v>82</v>
      </c>
      <c r="B413" s="12">
        <v>200</v>
      </c>
      <c r="C413" s="3">
        <v>672</v>
      </c>
      <c r="D413" s="50">
        <f t="shared" si="10"/>
        <v>134400</v>
      </c>
      <c r="E413" s="10"/>
      <c r="F413" s="10"/>
      <c r="G413" s="10"/>
    </row>
    <row r="414" spans="1:7" ht="18.75" x14ac:dyDescent="0.3">
      <c r="A414" s="2" t="s">
        <v>83</v>
      </c>
      <c r="B414" s="12">
        <v>65</v>
      </c>
      <c r="C414" s="3">
        <v>336</v>
      </c>
      <c r="D414" s="50">
        <f t="shared" si="10"/>
        <v>21840</v>
      </c>
      <c r="E414" s="10"/>
      <c r="F414" s="10"/>
    </row>
    <row r="415" spans="1:7" ht="18.75" x14ac:dyDescent="0.3">
      <c r="A415" s="2" t="s">
        <v>84</v>
      </c>
      <c r="B415" s="15">
        <v>179</v>
      </c>
      <c r="C415" s="3">
        <v>672</v>
      </c>
      <c r="D415" s="50">
        <f t="shared" si="10"/>
        <v>120288</v>
      </c>
      <c r="E415" s="10"/>
      <c r="F415" s="10"/>
    </row>
    <row r="416" spans="1:7" ht="18.75" x14ac:dyDescent="0.3">
      <c r="A416" s="2"/>
      <c r="B416" s="12"/>
      <c r="C416" s="3">
        <v>336</v>
      </c>
      <c r="D416" s="50">
        <f t="shared" si="10"/>
        <v>0</v>
      </c>
      <c r="E416" s="10"/>
      <c r="F416" s="16"/>
    </row>
    <row r="417" spans="1:6" ht="18.75" x14ac:dyDescent="0.3">
      <c r="A417" s="2"/>
      <c r="B417" s="15"/>
      <c r="C417" s="3"/>
      <c r="D417" s="50"/>
      <c r="E417" s="10"/>
      <c r="F417" s="17"/>
    </row>
    <row r="418" spans="1:6" ht="18.75" x14ac:dyDescent="0.3">
      <c r="A418" s="2"/>
      <c r="B418" s="12"/>
      <c r="C418" s="3"/>
      <c r="D418" s="50"/>
      <c r="E418" s="10"/>
      <c r="F418" s="10"/>
    </row>
    <row r="419" spans="1:6" ht="18.75" x14ac:dyDescent="0.3">
      <c r="A419" s="2"/>
      <c r="B419" s="12"/>
      <c r="C419" s="3"/>
      <c r="D419" s="50"/>
      <c r="E419" s="10"/>
      <c r="F419" s="10"/>
    </row>
    <row r="420" spans="1:6" ht="18.75" x14ac:dyDescent="0.3">
      <c r="A420" s="18"/>
      <c r="B420" s="19"/>
      <c r="C420" s="20"/>
      <c r="D420" s="13"/>
      <c r="E420" s="10"/>
      <c r="F420" s="10"/>
    </row>
    <row r="421" spans="1:6" ht="18.75" x14ac:dyDescent="0.3">
      <c r="A421" s="1" t="s">
        <v>10</v>
      </c>
      <c r="B421" s="1" t="s">
        <v>11</v>
      </c>
      <c r="C421" s="1" t="s">
        <v>12</v>
      </c>
      <c r="D421" s="1" t="s">
        <v>13</v>
      </c>
      <c r="E421" s="1" t="s">
        <v>14</v>
      </c>
      <c r="F421" s="10"/>
    </row>
    <row r="422" spans="1:6" ht="18.75" x14ac:dyDescent="0.3">
      <c r="A422" s="3" t="s">
        <v>379</v>
      </c>
      <c r="B422" s="4" t="s">
        <v>581</v>
      </c>
      <c r="C422" s="3">
        <v>336</v>
      </c>
      <c r="D422" s="58">
        <v>99120</v>
      </c>
      <c r="E422" s="3"/>
      <c r="F422" s="10"/>
    </row>
    <row r="423" spans="1:6" ht="18.75" x14ac:dyDescent="0.3">
      <c r="A423" s="3" t="s">
        <v>16</v>
      </c>
      <c r="B423" s="4" t="s">
        <v>581</v>
      </c>
      <c r="C423" s="3">
        <v>336</v>
      </c>
      <c r="D423" s="58">
        <v>99120</v>
      </c>
      <c r="E423" s="5"/>
      <c r="F423" s="10"/>
    </row>
    <row r="424" spans="1:6" ht="18.75" x14ac:dyDescent="0.3">
      <c r="A424" s="3" t="s">
        <v>17</v>
      </c>
      <c r="B424" s="4" t="s">
        <v>582</v>
      </c>
      <c r="C424" s="3">
        <v>672</v>
      </c>
      <c r="D424" s="58">
        <v>44352</v>
      </c>
      <c r="E424" s="5"/>
      <c r="F424" s="10"/>
    </row>
    <row r="425" spans="1:6" ht="18.75" x14ac:dyDescent="0.3">
      <c r="A425" s="3" t="s">
        <v>17</v>
      </c>
      <c r="B425" s="4" t="s">
        <v>583</v>
      </c>
      <c r="C425" s="5">
        <v>672</v>
      </c>
      <c r="D425" s="58">
        <v>43008</v>
      </c>
      <c r="E425" s="3"/>
      <c r="F425" s="10"/>
    </row>
    <row r="426" spans="1:6" ht="18.75" x14ac:dyDescent="0.3">
      <c r="A426" s="6" t="s">
        <v>379</v>
      </c>
      <c r="B426" s="4" t="s">
        <v>584</v>
      </c>
      <c r="C426" s="3">
        <v>672</v>
      </c>
      <c r="D426" s="58">
        <v>134400</v>
      </c>
      <c r="E426" s="5"/>
      <c r="F426" s="10"/>
    </row>
    <row r="427" spans="1:6" ht="18.75" x14ac:dyDescent="0.3">
      <c r="A427" s="3" t="s">
        <v>113</v>
      </c>
      <c r="B427" s="4" t="s">
        <v>585</v>
      </c>
      <c r="C427" s="3">
        <v>672</v>
      </c>
      <c r="D427" s="58">
        <v>43680</v>
      </c>
      <c r="E427" s="5"/>
      <c r="F427" s="10"/>
    </row>
    <row r="428" spans="1:6" ht="18.75" x14ac:dyDescent="0.3">
      <c r="A428" s="3" t="s">
        <v>67</v>
      </c>
      <c r="B428" s="4" t="s">
        <v>597</v>
      </c>
      <c r="C428" s="3">
        <v>672</v>
      </c>
      <c r="D428" s="58">
        <v>120288</v>
      </c>
      <c r="E428" s="5"/>
      <c r="F428" s="10"/>
    </row>
    <row r="429" spans="1:6" ht="18.75" x14ac:dyDescent="0.3">
      <c r="A429" s="3"/>
      <c r="B429" s="4"/>
      <c r="C429" s="3"/>
      <c r="D429" s="58"/>
      <c r="E429" s="3"/>
      <c r="F429" s="10"/>
    </row>
    <row r="430" spans="1:6" ht="18.75" x14ac:dyDescent="0.3">
      <c r="A430" s="3"/>
      <c r="B430" s="4"/>
      <c r="C430" s="3"/>
      <c r="D430" s="58"/>
      <c r="E430" s="3"/>
      <c r="F430" s="10"/>
    </row>
    <row r="431" spans="1:6" ht="18.75" x14ac:dyDescent="0.3">
      <c r="A431" s="3"/>
      <c r="B431" s="4"/>
      <c r="C431" s="3"/>
      <c r="D431" s="58"/>
      <c r="E431" s="3"/>
      <c r="F431" s="10"/>
    </row>
    <row r="432" spans="1:6" ht="18.75" x14ac:dyDescent="0.3">
      <c r="A432" s="3"/>
      <c r="B432" s="4"/>
      <c r="C432" s="3"/>
      <c r="D432" s="58"/>
      <c r="E432" s="3"/>
      <c r="F432" s="10"/>
    </row>
    <row r="433" spans="1:6" ht="18.75" x14ac:dyDescent="0.3">
      <c r="A433" s="3"/>
      <c r="B433" s="4"/>
      <c r="C433" s="3"/>
      <c r="D433" s="58"/>
      <c r="E433" s="3"/>
      <c r="F433" s="10"/>
    </row>
    <row r="434" spans="1:6" ht="18.75" x14ac:dyDescent="0.3">
      <c r="A434" s="3"/>
      <c r="B434" s="4"/>
      <c r="C434" s="3"/>
      <c r="D434" s="5"/>
      <c r="E434" s="3" t="s">
        <v>249</v>
      </c>
      <c r="F434" s="10"/>
    </row>
    <row r="435" spans="1:6" ht="18.75" x14ac:dyDescent="0.3">
      <c r="A435" s="3"/>
      <c r="B435" s="4"/>
      <c r="C435" s="3"/>
      <c r="D435" s="5"/>
      <c r="E435" s="3"/>
      <c r="F435" s="10"/>
    </row>
    <row r="436" spans="1:6" ht="18.75" x14ac:dyDescent="0.3">
      <c r="A436" s="3"/>
      <c r="B436" s="4"/>
      <c r="C436" s="3"/>
      <c r="D436" s="5"/>
      <c r="E436" s="3"/>
      <c r="F436" s="10"/>
    </row>
    <row r="437" spans="1:6" ht="18.75" x14ac:dyDescent="0.3">
      <c r="A437" s="3"/>
      <c r="B437" s="4"/>
      <c r="C437" s="5"/>
      <c r="D437" s="5"/>
      <c r="E437" s="3"/>
      <c r="F437" s="10"/>
    </row>
    <row r="438" spans="1:6" ht="18.75" x14ac:dyDescent="0.3">
      <c r="A438" s="3"/>
      <c r="B438" s="4"/>
      <c r="C438" s="5"/>
      <c r="D438" s="5"/>
      <c r="E438" s="3"/>
    </row>
    <row r="439" spans="1:6" ht="18.75" x14ac:dyDescent="0.3">
      <c r="A439" s="3"/>
      <c r="B439" s="4"/>
      <c r="C439" s="5"/>
      <c r="D439" s="5"/>
      <c r="E439" s="3"/>
    </row>
    <row r="440" spans="1:6" ht="18.75" x14ac:dyDescent="0.3">
      <c r="A440" s="3"/>
      <c r="B440" s="4"/>
      <c r="C440" s="5"/>
      <c r="D440" s="5"/>
      <c r="E440" s="3"/>
    </row>
    <row r="441" spans="1:6" ht="18.75" x14ac:dyDescent="0.3">
      <c r="A441" s="3"/>
      <c r="B441" s="4"/>
      <c r="C441" s="5"/>
      <c r="D441" s="5"/>
      <c r="E441" s="3"/>
    </row>
    <row r="442" spans="1:6" ht="18.75" x14ac:dyDescent="0.3">
      <c r="A442" s="3"/>
      <c r="B442" s="4"/>
      <c r="C442" s="5"/>
      <c r="D442" s="5"/>
      <c r="E442" s="3"/>
    </row>
    <row r="443" spans="1:6" ht="18.75" x14ac:dyDescent="0.3">
      <c r="A443" s="3"/>
      <c r="B443" s="4"/>
      <c r="C443" s="5"/>
      <c r="D443" s="5"/>
      <c r="E443" s="37"/>
    </row>
    <row r="444" spans="1:6" ht="18.75" x14ac:dyDescent="0.3">
      <c r="A444" s="3"/>
      <c r="B444" s="4"/>
      <c r="C444" s="5"/>
      <c r="D444" s="5"/>
      <c r="E444" s="37"/>
    </row>
    <row r="450" spans="1:7" ht="18.75" x14ac:dyDescent="0.3">
      <c r="A450" s="35" t="s">
        <v>0</v>
      </c>
      <c r="B450" s="35" t="s">
        <v>1</v>
      </c>
      <c r="C450" s="35" t="s">
        <v>2</v>
      </c>
      <c r="D450" s="35" t="s">
        <v>3</v>
      </c>
      <c r="E450" s="35" t="s">
        <v>4</v>
      </c>
      <c r="F450" s="35" t="s">
        <v>5</v>
      </c>
      <c r="G450" s="35" t="s">
        <v>6</v>
      </c>
    </row>
    <row r="451" spans="1:7" ht="18.75" x14ac:dyDescent="0.3">
      <c r="A451" s="22">
        <v>12</v>
      </c>
      <c r="B451" s="22" t="s">
        <v>139</v>
      </c>
      <c r="C451" s="23" t="s">
        <v>586</v>
      </c>
      <c r="D451" s="24">
        <v>672</v>
      </c>
      <c r="E451" s="22">
        <v>900</v>
      </c>
      <c r="F451" s="25"/>
      <c r="G451" s="26">
        <f>D451*E451</f>
        <v>604800</v>
      </c>
    </row>
    <row r="452" spans="1:7" ht="18.75" x14ac:dyDescent="0.3">
      <c r="A452" s="1" t="s">
        <v>7</v>
      </c>
      <c r="B452" s="7">
        <v>5.4</v>
      </c>
      <c r="C452" s="48" t="s">
        <v>3</v>
      </c>
      <c r="D452" s="48" t="s">
        <v>8</v>
      </c>
      <c r="E452" s="46">
        <v>362880</v>
      </c>
      <c r="F452" s="10"/>
      <c r="G452" s="11">
        <v>241920</v>
      </c>
    </row>
    <row r="453" spans="1:7" ht="18.75" x14ac:dyDescent="0.3">
      <c r="A453" s="2" t="s">
        <v>486</v>
      </c>
      <c r="B453" s="12">
        <v>43</v>
      </c>
      <c r="C453" s="5">
        <v>672</v>
      </c>
      <c r="D453" s="50">
        <f>B453*C453</f>
        <v>28896</v>
      </c>
      <c r="E453" s="21">
        <v>0.6</v>
      </c>
      <c r="F453" s="10"/>
      <c r="G453" s="21">
        <v>0.4</v>
      </c>
    </row>
    <row r="454" spans="1:7" ht="18.75" x14ac:dyDescent="0.3">
      <c r="A454" s="2" t="s">
        <v>487</v>
      </c>
      <c r="B454" s="12">
        <v>43</v>
      </c>
      <c r="C454" s="3">
        <v>672</v>
      </c>
      <c r="D454" s="50">
        <f t="shared" ref="D454:D461" si="11">B454*C454</f>
        <v>28896</v>
      </c>
      <c r="E454" s="10"/>
      <c r="F454" s="10"/>
      <c r="G454" s="10"/>
    </row>
    <row r="455" spans="1:7" ht="18.75" x14ac:dyDescent="0.3">
      <c r="A455" s="2" t="s">
        <v>86</v>
      </c>
      <c r="B455" s="12">
        <v>52.7</v>
      </c>
      <c r="C455" s="3">
        <v>672</v>
      </c>
      <c r="D455" s="50">
        <f t="shared" si="11"/>
        <v>35414.400000000001</v>
      </c>
      <c r="E455" s="10"/>
      <c r="F455" s="10"/>
      <c r="G455" s="10"/>
    </row>
    <row r="456" spans="1:7" ht="18.75" x14ac:dyDescent="0.3">
      <c r="A456" s="2" t="s">
        <v>488</v>
      </c>
      <c r="B456" s="12">
        <v>60</v>
      </c>
      <c r="C456" s="5">
        <v>672</v>
      </c>
      <c r="D456" s="50">
        <f t="shared" si="11"/>
        <v>40320</v>
      </c>
      <c r="E456" s="10"/>
      <c r="F456" s="10"/>
      <c r="G456" s="10"/>
    </row>
    <row r="457" spans="1:7" ht="18.75" x14ac:dyDescent="0.3">
      <c r="A457" s="2" t="s">
        <v>61</v>
      </c>
      <c r="B457" s="12">
        <v>70</v>
      </c>
      <c r="C457" s="3">
        <v>672</v>
      </c>
      <c r="D457" s="50">
        <f t="shared" si="11"/>
        <v>47040</v>
      </c>
      <c r="E457" s="10"/>
      <c r="F457" s="10"/>
      <c r="G457" s="14">
        <f>E452-D467-D468-D469-D470-D471-D472-D473-D474-D475-D476-D477-D478-D479-D480-D481-D482-D483-D484-D485-D486-D487-D488-D489-D489</f>
        <v>0</v>
      </c>
    </row>
    <row r="458" spans="1:7" ht="18.75" x14ac:dyDescent="0.3">
      <c r="A458" s="2" t="s">
        <v>339</v>
      </c>
      <c r="B458" s="12">
        <v>65</v>
      </c>
      <c r="C458" s="3">
        <v>672</v>
      </c>
      <c r="D458" s="50">
        <f t="shared" si="11"/>
        <v>43680</v>
      </c>
      <c r="E458" s="10"/>
      <c r="F458" s="10"/>
      <c r="G458" s="10"/>
    </row>
    <row r="459" spans="1:7" ht="18.75" x14ac:dyDescent="0.3">
      <c r="A459" s="2" t="s">
        <v>417</v>
      </c>
      <c r="B459" s="12">
        <v>55</v>
      </c>
      <c r="C459" s="3">
        <v>672</v>
      </c>
      <c r="D459" s="50">
        <f t="shared" si="11"/>
        <v>36960</v>
      </c>
      <c r="E459" s="10"/>
      <c r="F459" s="10"/>
    </row>
    <row r="460" spans="1:7" ht="18.75" x14ac:dyDescent="0.3">
      <c r="A460" s="2" t="s">
        <v>41</v>
      </c>
      <c r="B460" s="15">
        <v>108.3</v>
      </c>
      <c r="C460" s="3">
        <v>672</v>
      </c>
      <c r="D460" s="50">
        <f t="shared" si="11"/>
        <v>72777.599999999991</v>
      </c>
      <c r="E460" s="10"/>
      <c r="F460" s="10"/>
    </row>
    <row r="461" spans="1:7" ht="18.75" x14ac:dyDescent="0.3">
      <c r="A461" s="2" t="s">
        <v>101</v>
      </c>
      <c r="B461" s="15">
        <v>43</v>
      </c>
      <c r="C461" s="3">
        <v>672</v>
      </c>
      <c r="D461" s="50">
        <f t="shared" si="11"/>
        <v>28896</v>
      </c>
      <c r="E461" s="10"/>
      <c r="F461" s="16"/>
    </row>
    <row r="462" spans="1:7" ht="18.75" x14ac:dyDescent="0.3">
      <c r="A462" s="2"/>
      <c r="B462" s="15"/>
      <c r="C462" s="3"/>
      <c r="D462" s="50"/>
      <c r="E462" s="10"/>
      <c r="F462" s="17"/>
    </row>
    <row r="463" spans="1:7" ht="18.75" x14ac:dyDescent="0.3">
      <c r="A463" s="2"/>
      <c r="B463" s="12"/>
      <c r="C463" s="3"/>
      <c r="D463" s="50"/>
      <c r="E463" s="10"/>
      <c r="F463" s="10"/>
    </row>
    <row r="464" spans="1:7" ht="18.75" x14ac:dyDescent="0.3">
      <c r="A464" s="2"/>
      <c r="B464" s="12"/>
      <c r="C464" s="3"/>
      <c r="D464" s="50"/>
      <c r="E464" s="10"/>
      <c r="F464" s="10"/>
    </row>
    <row r="465" spans="1:7" ht="18.75" x14ac:dyDescent="0.3">
      <c r="A465" s="18"/>
      <c r="B465" s="19"/>
      <c r="C465" s="20"/>
      <c r="D465" s="13"/>
      <c r="E465" s="10"/>
      <c r="F465" s="10"/>
    </row>
    <row r="466" spans="1:7" ht="18.75" x14ac:dyDescent="0.3">
      <c r="A466" s="1" t="s">
        <v>10</v>
      </c>
      <c r="B466" s="1" t="s">
        <v>11</v>
      </c>
      <c r="C466" s="1" t="s">
        <v>12</v>
      </c>
      <c r="D466" s="1" t="s">
        <v>13</v>
      </c>
      <c r="E466" s="1" t="s">
        <v>14</v>
      </c>
      <c r="F466" s="10"/>
    </row>
    <row r="467" spans="1:7" ht="18.75" x14ac:dyDescent="0.3">
      <c r="A467" s="3" t="s">
        <v>104</v>
      </c>
      <c r="B467" s="4" t="s">
        <v>587</v>
      </c>
      <c r="C467" s="3">
        <v>336</v>
      </c>
      <c r="D467" s="58">
        <v>65083</v>
      </c>
      <c r="E467" s="3"/>
      <c r="F467" s="10"/>
    </row>
    <row r="468" spans="1:7" ht="18.75" x14ac:dyDescent="0.3">
      <c r="A468" s="3" t="s">
        <v>15</v>
      </c>
      <c r="B468" s="4" t="s">
        <v>588</v>
      </c>
      <c r="C468" s="3">
        <v>336</v>
      </c>
      <c r="D468" s="58">
        <v>65083</v>
      </c>
      <c r="E468" s="5"/>
      <c r="F468" s="10"/>
      <c r="G468">
        <v>72798</v>
      </c>
    </row>
    <row r="469" spans="1:7" ht="18.75" x14ac:dyDescent="0.3">
      <c r="A469" s="3" t="s">
        <v>42</v>
      </c>
      <c r="B469" s="4" t="s">
        <v>589</v>
      </c>
      <c r="C469" s="3">
        <v>672</v>
      </c>
      <c r="D469" s="58">
        <v>40320</v>
      </c>
      <c r="E469" s="5"/>
      <c r="F469" s="10"/>
    </row>
    <row r="470" spans="1:7" ht="18.75" x14ac:dyDescent="0.3">
      <c r="A470" s="3" t="s">
        <v>17</v>
      </c>
      <c r="B470" s="4" t="s">
        <v>590</v>
      </c>
      <c r="C470" s="5">
        <v>672</v>
      </c>
      <c r="D470" s="58">
        <v>47040</v>
      </c>
      <c r="E470" s="3"/>
      <c r="F470" s="10"/>
    </row>
    <row r="471" spans="1:7" ht="18.75" x14ac:dyDescent="0.3">
      <c r="A471" s="6" t="s">
        <v>15</v>
      </c>
      <c r="B471" s="4" t="s">
        <v>553</v>
      </c>
      <c r="C471" s="3">
        <v>672</v>
      </c>
      <c r="D471" s="58">
        <v>28896</v>
      </c>
      <c r="E471" s="5"/>
      <c r="F471" s="10"/>
    </row>
    <row r="472" spans="1:7" ht="18.75" x14ac:dyDescent="0.3">
      <c r="A472" s="3" t="s">
        <v>67</v>
      </c>
      <c r="B472" s="4" t="s">
        <v>67</v>
      </c>
      <c r="C472" s="3">
        <v>672</v>
      </c>
      <c r="D472" s="58">
        <v>72778</v>
      </c>
      <c r="E472" s="5"/>
      <c r="F472" s="10"/>
    </row>
    <row r="473" spans="1:7" ht="18.75" x14ac:dyDescent="0.3">
      <c r="A473" s="3" t="s">
        <v>379</v>
      </c>
      <c r="B473" s="4" t="s">
        <v>552</v>
      </c>
      <c r="C473" s="3">
        <v>672</v>
      </c>
      <c r="D473" s="58">
        <v>43680</v>
      </c>
      <c r="E473" s="5"/>
      <c r="F473" s="10"/>
    </row>
    <row r="474" spans="1:7" ht="18.75" x14ac:dyDescent="0.3">
      <c r="A474" s="3"/>
      <c r="B474" s="4"/>
      <c r="C474" s="3"/>
      <c r="D474" s="58"/>
      <c r="E474" s="3"/>
      <c r="F474" s="10"/>
    </row>
    <row r="475" spans="1:7" ht="18.75" x14ac:dyDescent="0.3">
      <c r="A475" s="3"/>
      <c r="B475" s="4"/>
      <c r="C475" s="3"/>
      <c r="D475" s="58"/>
      <c r="E475" s="3"/>
      <c r="F475" s="10"/>
    </row>
    <row r="476" spans="1:7" ht="18.75" x14ac:dyDescent="0.3">
      <c r="A476" s="3"/>
      <c r="B476" s="4"/>
      <c r="C476" s="3"/>
      <c r="D476" s="58"/>
      <c r="E476" s="3"/>
      <c r="F476" s="10"/>
    </row>
    <row r="477" spans="1:7" ht="18.75" x14ac:dyDescent="0.3">
      <c r="A477" s="3"/>
      <c r="B477" s="4"/>
      <c r="C477" s="3"/>
      <c r="D477" s="58"/>
      <c r="E477" s="3"/>
      <c r="F477" s="10"/>
    </row>
    <row r="478" spans="1:7" ht="18.75" x14ac:dyDescent="0.3">
      <c r="A478" s="3"/>
      <c r="B478" s="4"/>
      <c r="C478" s="3"/>
      <c r="D478" s="58"/>
      <c r="E478" s="3"/>
      <c r="F478" s="10"/>
    </row>
    <row r="479" spans="1:7" ht="18.75" x14ac:dyDescent="0.3">
      <c r="A479" s="3"/>
      <c r="B479" s="4"/>
      <c r="C479" s="3"/>
      <c r="D479" s="5"/>
      <c r="E479" s="3" t="s">
        <v>249</v>
      </c>
      <c r="F479" s="10"/>
    </row>
    <row r="480" spans="1:7" ht="18.75" x14ac:dyDescent="0.3">
      <c r="A480" s="3"/>
      <c r="B480" s="4"/>
      <c r="C480" s="3"/>
      <c r="D480" s="5"/>
      <c r="E480" s="3"/>
      <c r="F480" s="10"/>
    </row>
    <row r="481" spans="1:7" ht="18.75" x14ac:dyDescent="0.3">
      <c r="A481" s="3"/>
      <c r="B481" s="4"/>
      <c r="C481" s="3"/>
      <c r="D481" s="5"/>
      <c r="E481" s="3"/>
      <c r="F481" s="10"/>
    </row>
    <row r="482" spans="1:7" ht="18.75" x14ac:dyDescent="0.3">
      <c r="A482" s="3"/>
      <c r="B482" s="4"/>
      <c r="C482" s="5"/>
      <c r="D482" s="5"/>
      <c r="E482" s="3"/>
      <c r="F482" s="10"/>
    </row>
    <row r="483" spans="1:7" ht="18.75" x14ac:dyDescent="0.3">
      <c r="A483" s="3"/>
      <c r="B483" s="4"/>
      <c r="C483" s="5"/>
      <c r="D483" s="5"/>
      <c r="E483" s="3"/>
    </row>
    <row r="484" spans="1:7" ht="18.75" x14ac:dyDescent="0.3">
      <c r="A484" s="3"/>
      <c r="B484" s="4"/>
      <c r="C484" s="5"/>
      <c r="D484" s="5"/>
      <c r="E484" s="3"/>
    </row>
    <row r="485" spans="1:7" ht="18.75" x14ac:dyDescent="0.3">
      <c r="A485" s="3"/>
      <c r="B485" s="4"/>
      <c r="C485" s="5"/>
      <c r="D485" s="5"/>
      <c r="E485" s="3"/>
    </row>
    <row r="486" spans="1:7" ht="18.75" x14ac:dyDescent="0.3">
      <c r="A486" s="3"/>
      <c r="B486" s="4"/>
      <c r="C486" s="5"/>
      <c r="D486" s="5"/>
      <c r="E486" s="3"/>
    </row>
    <row r="487" spans="1:7" ht="18.75" x14ac:dyDescent="0.3">
      <c r="A487" s="3"/>
      <c r="B487" s="4"/>
      <c r="C487" s="5"/>
      <c r="D487" s="5"/>
      <c r="E487" s="3"/>
    </row>
    <row r="488" spans="1:7" ht="18.75" x14ac:dyDescent="0.3">
      <c r="A488" s="3"/>
      <c r="B488" s="4"/>
      <c r="C488" s="5"/>
      <c r="D488" s="5"/>
      <c r="E488" s="37"/>
    </row>
    <row r="489" spans="1:7" ht="18.75" x14ac:dyDescent="0.3">
      <c r="A489" s="3"/>
      <c r="B489" s="4"/>
      <c r="C489" s="5"/>
      <c r="D489" s="5"/>
      <c r="E489" s="37"/>
    </row>
    <row r="495" spans="1:7" ht="18.75" x14ac:dyDescent="0.3">
      <c r="A495" s="35" t="s">
        <v>0</v>
      </c>
      <c r="B495" s="35" t="s">
        <v>1</v>
      </c>
      <c r="C495" s="35" t="s">
        <v>2</v>
      </c>
      <c r="D495" s="35" t="s">
        <v>3</v>
      </c>
      <c r="E495" s="35" t="s">
        <v>4</v>
      </c>
      <c r="F495" s="35" t="s">
        <v>5</v>
      </c>
      <c r="G495" s="35" t="s">
        <v>6</v>
      </c>
    </row>
    <row r="496" spans="1:7" ht="18.75" x14ac:dyDescent="0.3">
      <c r="A496" s="22">
        <v>12</v>
      </c>
      <c r="B496" s="22" t="s">
        <v>54</v>
      </c>
      <c r="C496" s="23" t="s">
        <v>145</v>
      </c>
      <c r="D496" s="24">
        <v>1344</v>
      </c>
      <c r="E496" s="22">
        <v>900</v>
      </c>
      <c r="F496" s="25"/>
      <c r="G496" s="26">
        <f>D496*E496</f>
        <v>1209600</v>
      </c>
    </row>
    <row r="497" spans="1:7" ht="18.75" x14ac:dyDescent="0.3">
      <c r="A497" s="1" t="s">
        <v>7</v>
      </c>
      <c r="B497" s="7">
        <v>5.4</v>
      </c>
      <c r="C497" s="48" t="s">
        <v>3</v>
      </c>
      <c r="D497" s="48" t="s">
        <v>8</v>
      </c>
      <c r="E497" s="46">
        <v>725760</v>
      </c>
      <c r="F497" s="10"/>
      <c r="G497" s="11">
        <v>483840</v>
      </c>
    </row>
    <row r="498" spans="1:7" ht="18.75" x14ac:dyDescent="0.3">
      <c r="A498" s="2" t="s">
        <v>174</v>
      </c>
      <c r="B498" s="12">
        <v>58</v>
      </c>
      <c r="C498" s="5">
        <v>672</v>
      </c>
      <c r="D498" s="50">
        <f t="shared" ref="D498:D506" si="12">B498*C498</f>
        <v>38976</v>
      </c>
      <c r="E498" s="21">
        <v>0.6</v>
      </c>
      <c r="F498" s="10"/>
      <c r="G498" s="21">
        <v>0.4</v>
      </c>
    </row>
    <row r="499" spans="1:7" ht="18.75" x14ac:dyDescent="0.3">
      <c r="A499" s="2" t="s">
        <v>257</v>
      </c>
      <c r="B499" s="12">
        <v>86</v>
      </c>
      <c r="C499" s="3">
        <v>672</v>
      </c>
      <c r="D499" s="50">
        <f t="shared" si="12"/>
        <v>57792</v>
      </c>
      <c r="E499" s="10"/>
      <c r="F499" s="10"/>
      <c r="G499" s="10"/>
    </row>
    <row r="500" spans="1:7" ht="18.75" x14ac:dyDescent="0.3">
      <c r="A500" s="2" t="s">
        <v>46</v>
      </c>
      <c r="B500" s="12">
        <v>89</v>
      </c>
      <c r="C500" s="3">
        <v>672</v>
      </c>
      <c r="D500" s="50">
        <f t="shared" si="12"/>
        <v>59808</v>
      </c>
      <c r="E500" s="10"/>
      <c r="F500" s="10"/>
      <c r="G500" s="10"/>
    </row>
    <row r="501" spans="1:7" ht="18.75" x14ac:dyDescent="0.3">
      <c r="A501" s="2" t="s">
        <v>70</v>
      </c>
      <c r="B501" s="12">
        <v>64</v>
      </c>
      <c r="C501" s="5">
        <v>1344</v>
      </c>
      <c r="D501" s="50">
        <f t="shared" si="12"/>
        <v>86016</v>
      </c>
      <c r="E501" s="10"/>
      <c r="F501" s="10"/>
      <c r="G501" s="10"/>
    </row>
    <row r="502" spans="1:7" ht="18.75" x14ac:dyDescent="0.3">
      <c r="A502" s="2" t="s">
        <v>61</v>
      </c>
      <c r="B502" s="12">
        <v>66</v>
      </c>
      <c r="C502" s="3">
        <v>1344</v>
      </c>
      <c r="D502" s="50">
        <f t="shared" si="12"/>
        <v>88704</v>
      </c>
      <c r="E502" s="10"/>
      <c r="F502" s="10"/>
      <c r="G502" s="14">
        <f>E497-D512-D513-D514-D515-D516-D517-D518-D519-D520-D521-D522-D523-D524-D525-D526-D527-D528-D529-D530-D531-D532-D533-D534-D534</f>
        <v>0</v>
      </c>
    </row>
    <row r="503" spans="1:7" ht="18.75" x14ac:dyDescent="0.3">
      <c r="A503" s="2" t="s">
        <v>156</v>
      </c>
      <c r="B503" s="12">
        <v>60</v>
      </c>
      <c r="C503" s="3">
        <v>1344</v>
      </c>
      <c r="D503" s="50">
        <f t="shared" si="12"/>
        <v>80640</v>
      </c>
      <c r="E503" s="10"/>
      <c r="F503" s="10"/>
      <c r="G503" s="10"/>
    </row>
    <row r="504" spans="1:7" ht="18.75" x14ac:dyDescent="0.3">
      <c r="A504" s="2" t="s">
        <v>101</v>
      </c>
      <c r="B504" s="12">
        <v>43</v>
      </c>
      <c r="C504" s="3">
        <v>1344</v>
      </c>
      <c r="D504" s="50">
        <f t="shared" si="12"/>
        <v>57792</v>
      </c>
      <c r="E504" s="10"/>
      <c r="F504" s="10"/>
    </row>
    <row r="505" spans="1:7" ht="18.75" x14ac:dyDescent="0.3">
      <c r="A505" s="2" t="s">
        <v>41</v>
      </c>
      <c r="B505" s="15">
        <v>59</v>
      </c>
      <c r="C505" s="3">
        <v>1344</v>
      </c>
      <c r="D505" s="50">
        <f t="shared" si="12"/>
        <v>79296</v>
      </c>
      <c r="E505" s="10"/>
      <c r="F505" s="10"/>
    </row>
    <row r="506" spans="1:7" ht="18.75" x14ac:dyDescent="0.3">
      <c r="A506" s="2" t="s">
        <v>163</v>
      </c>
      <c r="B506" s="15">
        <v>15</v>
      </c>
      <c r="C506" s="3">
        <v>1344</v>
      </c>
      <c r="D506" s="50">
        <f t="shared" si="12"/>
        <v>20160</v>
      </c>
      <c r="E506" s="10"/>
      <c r="F506" s="16"/>
    </row>
    <row r="507" spans="1:7" ht="18.75" x14ac:dyDescent="0.3">
      <c r="A507" s="2"/>
      <c r="B507" s="15"/>
      <c r="C507" s="3"/>
      <c r="D507" s="50"/>
      <c r="E507" s="10"/>
      <c r="F507" s="17"/>
    </row>
    <row r="508" spans="1:7" ht="18.75" x14ac:dyDescent="0.3">
      <c r="A508" s="2"/>
      <c r="B508" s="12"/>
      <c r="C508" s="3"/>
      <c r="D508" s="50"/>
      <c r="E508" s="10"/>
      <c r="F508" s="10"/>
    </row>
    <row r="509" spans="1:7" ht="18.75" x14ac:dyDescent="0.3">
      <c r="A509" s="2"/>
      <c r="B509" s="12"/>
      <c r="C509" s="3"/>
      <c r="D509" s="50"/>
      <c r="E509" s="10"/>
      <c r="F509" s="10"/>
    </row>
    <row r="510" spans="1:7" ht="18.75" x14ac:dyDescent="0.3">
      <c r="A510" s="18"/>
      <c r="B510" s="19"/>
      <c r="C510" s="20"/>
      <c r="D510" s="13"/>
      <c r="E510" s="10"/>
      <c r="F510" s="10"/>
    </row>
    <row r="511" spans="1:7" ht="18.75" x14ac:dyDescent="0.3">
      <c r="A511" s="1" t="s">
        <v>10</v>
      </c>
      <c r="B511" s="1" t="s">
        <v>11</v>
      </c>
      <c r="C511" s="1" t="s">
        <v>12</v>
      </c>
      <c r="D511" s="1" t="s">
        <v>13</v>
      </c>
      <c r="E511" s="1" t="s">
        <v>14</v>
      </c>
      <c r="F511" s="10"/>
    </row>
    <row r="512" spans="1:7" ht="18.75" x14ac:dyDescent="0.3">
      <c r="A512" s="3" t="s">
        <v>16</v>
      </c>
      <c r="B512" s="4" t="s">
        <v>604</v>
      </c>
      <c r="C512" s="3">
        <v>672</v>
      </c>
      <c r="D512" s="58">
        <v>38976</v>
      </c>
      <c r="E512" s="3"/>
      <c r="F512" s="10"/>
    </row>
    <row r="513" spans="1:6" ht="18.75" x14ac:dyDescent="0.3">
      <c r="A513" s="3" t="s">
        <v>16</v>
      </c>
      <c r="B513" s="4" t="s">
        <v>603</v>
      </c>
      <c r="C513" s="3">
        <v>672</v>
      </c>
      <c r="D513" s="58">
        <v>57792</v>
      </c>
      <c r="E513" s="5"/>
      <c r="F513" s="10"/>
    </row>
    <row r="514" spans="1:6" ht="18.75" x14ac:dyDescent="0.3">
      <c r="A514" s="3" t="s">
        <v>16</v>
      </c>
      <c r="B514" s="4" t="s">
        <v>602</v>
      </c>
      <c r="C514" s="3">
        <v>672</v>
      </c>
      <c r="D514" s="58">
        <v>59808</v>
      </c>
      <c r="E514" s="5"/>
      <c r="F514" s="10"/>
    </row>
    <row r="515" spans="1:6" ht="18.75" x14ac:dyDescent="0.3">
      <c r="A515" s="3" t="s">
        <v>15</v>
      </c>
      <c r="B515" s="4" t="s">
        <v>601</v>
      </c>
      <c r="C515" s="5">
        <v>672</v>
      </c>
      <c r="D515" s="58">
        <v>38976</v>
      </c>
      <c r="E515" s="3"/>
      <c r="F515" s="10"/>
    </row>
    <row r="516" spans="1:6" ht="18.75" x14ac:dyDescent="0.3">
      <c r="A516" s="6" t="s">
        <v>15</v>
      </c>
      <c r="B516" s="4" t="s">
        <v>605</v>
      </c>
      <c r="C516" s="3">
        <v>672</v>
      </c>
      <c r="D516" s="58">
        <v>57792</v>
      </c>
      <c r="E516" s="5"/>
      <c r="F516" s="10"/>
    </row>
    <row r="517" spans="1:6" ht="18.75" x14ac:dyDescent="0.3">
      <c r="A517" s="3" t="s">
        <v>17</v>
      </c>
      <c r="B517" s="4" t="s">
        <v>606</v>
      </c>
      <c r="C517" s="3">
        <v>1344</v>
      </c>
      <c r="D517" s="58">
        <v>86016</v>
      </c>
      <c r="E517" s="5"/>
      <c r="F517" s="10"/>
    </row>
    <row r="518" spans="1:6" ht="18.75" x14ac:dyDescent="0.3">
      <c r="A518" s="3" t="s">
        <v>17</v>
      </c>
      <c r="B518" s="4" t="s">
        <v>609</v>
      </c>
      <c r="C518" s="3">
        <v>1344</v>
      </c>
      <c r="D518" s="58">
        <v>88704</v>
      </c>
      <c r="E518" s="5"/>
      <c r="F518" s="10"/>
    </row>
    <row r="519" spans="1:6" ht="18.75" x14ac:dyDescent="0.3">
      <c r="A519" s="3" t="s">
        <v>42</v>
      </c>
      <c r="B519" s="4" t="s">
        <v>658</v>
      </c>
      <c r="C519" s="3">
        <v>672</v>
      </c>
      <c r="D519" s="58">
        <v>59808</v>
      </c>
      <c r="E519" s="3"/>
      <c r="F519" s="10"/>
    </row>
    <row r="520" spans="1:6" ht="18.75" x14ac:dyDescent="0.3">
      <c r="A520" s="3" t="s">
        <v>41</v>
      </c>
      <c r="B520" s="4" t="s">
        <v>41</v>
      </c>
      <c r="C520" s="3">
        <v>1344</v>
      </c>
      <c r="D520" s="58">
        <v>79296</v>
      </c>
      <c r="E520" s="3"/>
      <c r="F520" s="10"/>
    </row>
    <row r="521" spans="1:6" ht="18.75" x14ac:dyDescent="0.3">
      <c r="A521" s="3" t="s">
        <v>205</v>
      </c>
      <c r="B521" s="4" t="s">
        <v>610</v>
      </c>
      <c r="C521" s="3">
        <v>1344</v>
      </c>
      <c r="D521" s="58">
        <v>20160</v>
      </c>
      <c r="E521" s="3"/>
      <c r="F521" s="10"/>
    </row>
    <row r="522" spans="1:6" ht="18.75" x14ac:dyDescent="0.3">
      <c r="A522" s="3" t="s">
        <v>379</v>
      </c>
      <c r="B522" s="4" t="s">
        <v>611</v>
      </c>
      <c r="C522" s="3">
        <v>1344</v>
      </c>
      <c r="D522" s="58">
        <v>80640</v>
      </c>
      <c r="E522" s="3"/>
      <c r="F522" s="10"/>
    </row>
    <row r="523" spans="1:6" ht="18.75" x14ac:dyDescent="0.3">
      <c r="A523" s="3" t="s">
        <v>42</v>
      </c>
      <c r="B523" s="4" t="s">
        <v>466</v>
      </c>
      <c r="C523" s="3">
        <v>1344</v>
      </c>
      <c r="D523" s="58">
        <v>57792</v>
      </c>
      <c r="E523" s="3"/>
      <c r="F523" s="10"/>
    </row>
    <row r="524" spans="1:6" ht="18.75" x14ac:dyDescent="0.3">
      <c r="A524" s="3"/>
      <c r="B524" s="4"/>
      <c r="C524" s="3"/>
      <c r="D524" s="5"/>
      <c r="E524" s="3" t="s">
        <v>249</v>
      </c>
      <c r="F524" s="10"/>
    </row>
    <row r="525" spans="1:6" ht="18.75" x14ac:dyDescent="0.3">
      <c r="A525" s="3"/>
      <c r="B525" s="4"/>
      <c r="C525" s="3"/>
      <c r="D525" s="5"/>
      <c r="E525" s="3"/>
      <c r="F525" s="10"/>
    </row>
    <row r="526" spans="1:6" ht="18.75" x14ac:dyDescent="0.3">
      <c r="A526" s="3"/>
      <c r="B526" s="4"/>
      <c r="C526" s="3"/>
      <c r="D526" s="5"/>
      <c r="E526" s="3"/>
      <c r="F526" s="10"/>
    </row>
    <row r="527" spans="1:6" ht="18.75" x14ac:dyDescent="0.3">
      <c r="A527" s="3"/>
      <c r="B527" s="4"/>
      <c r="C527" s="5"/>
      <c r="D527" s="5"/>
      <c r="E527" s="3"/>
      <c r="F527" s="10"/>
    </row>
    <row r="528" spans="1:6" ht="18.75" x14ac:dyDescent="0.3">
      <c r="A528" s="3"/>
      <c r="B528" s="4"/>
      <c r="C528" s="5"/>
      <c r="D528" s="5"/>
      <c r="E528" s="3"/>
    </row>
    <row r="529" spans="1:7" ht="18.75" x14ac:dyDescent="0.3">
      <c r="A529" s="3"/>
      <c r="B529" s="4"/>
      <c r="C529" s="5"/>
      <c r="D529" s="5"/>
      <c r="E529" s="3"/>
    </row>
    <row r="530" spans="1:7" ht="18.75" x14ac:dyDescent="0.3">
      <c r="A530" s="3"/>
      <c r="B530" s="4"/>
      <c r="C530" s="5"/>
      <c r="D530" s="5"/>
      <c r="E530" s="3"/>
    </row>
    <row r="531" spans="1:7" ht="18.75" x14ac:dyDescent="0.3">
      <c r="A531" s="3"/>
      <c r="B531" s="4"/>
      <c r="C531" s="5"/>
      <c r="D531" s="5"/>
      <c r="E531" s="3"/>
    </row>
    <row r="532" spans="1:7" ht="18.75" x14ac:dyDescent="0.3">
      <c r="A532" s="3"/>
      <c r="B532" s="4"/>
      <c r="C532" s="5"/>
      <c r="D532" s="5"/>
      <c r="E532" s="3"/>
    </row>
    <row r="533" spans="1:7" ht="18.75" x14ac:dyDescent="0.3">
      <c r="A533" s="3"/>
      <c r="B533" s="4"/>
      <c r="C533" s="5"/>
      <c r="D533" s="5"/>
      <c r="E533" s="37"/>
    </row>
    <row r="534" spans="1:7" ht="18.75" x14ac:dyDescent="0.3">
      <c r="A534" s="3"/>
      <c r="B534" s="4"/>
      <c r="C534" s="5"/>
      <c r="D534" s="5"/>
      <c r="E534" s="37"/>
    </row>
    <row r="536" spans="1:7" x14ac:dyDescent="0.25">
      <c r="B536" s="134" t="s">
        <v>686</v>
      </c>
      <c r="C536" s="134"/>
      <c r="D536" s="134"/>
    </row>
    <row r="537" spans="1:7" x14ac:dyDescent="0.25">
      <c r="B537" s="134"/>
      <c r="C537" s="134"/>
      <c r="D537" s="134"/>
    </row>
    <row r="539" spans="1:7" ht="18.75" x14ac:dyDescent="0.3">
      <c r="A539" s="35" t="s">
        <v>0</v>
      </c>
      <c r="B539" s="35" t="s">
        <v>1</v>
      </c>
      <c r="C539" s="35" t="s">
        <v>2</v>
      </c>
      <c r="D539" s="35" t="s">
        <v>3</v>
      </c>
      <c r="E539" s="35" t="s">
        <v>4</v>
      </c>
      <c r="F539" s="35" t="s">
        <v>5</v>
      </c>
      <c r="G539" s="35" t="s">
        <v>6</v>
      </c>
    </row>
    <row r="540" spans="1:7" ht="18.75" x14ac:dyDescent="0.3">
      <c r="A540" s="22">
        <v>13</v>
      </c>
      <c r="B540" s="22" t="s">
        <v>54</v>
      </c>
      <c r="C540" s="23" t="s">
        <v>671</v>
      </c>
      <c r="D540" s="24">
        <v>3120</v>
      </c>
      <c r="E540" s="22">
        <v>900</v>
      </c>
      <c r="F540" s="25" t="s">
        <v>286</v>
      </c>
      <c r="G540" s="26">
        <f>D540*E540</f>
        <v>2808000</v>
      </c>
    </row>
    <row r="541" spans="1:7" ht="18.75" x14ac:dyDescent="0.3">
      <c r="A541" s="1" t="s">
        <v>7</v>
      </c>
      <c r="B541" s="7">
        <v>5.4</v>
      </c>
      <c r="C541" s="48" t="s">
        <v>3</v>
      </c>
      <c r="D541" s="48" t="s">
        <v>8</v>
      </c>
      <c r="E541" s="46">
        <v>1684800</v>
      </c>
      <c r="F541" s="10"/>
      <c r="G541" s="11">
        <v>1123200</v>
      </c>
    </row>
    <row r="542" spans="1:7" ht="18.75" x14ac:dyDescent="0.3">
      <c r="A542" s="2" t="s">
        <v>174</v>
      </c>
      <c r="B542" s="12">
        <v>58</v>
      </c>
      <c r="C542" s="5">
        <v>1040</v>
      </c>
      <c r="D542" s="50">
        <f t="shared" ref="D542:D550" si="13">B542*C542</f>
        <v>60320</v>
      </c>
      <c r="E542" s="21">
        <v>0.6</v>
      </c>
      <c r="F542" s="10"/>
      <c r="G542" s="21">
        <v>0.4</v>
      </c>
    </row>
    <row r="543" spans="1:7" ht="18.75" x14ac:dyDescent="0.3">
      <c r="A543" s="2" t="s">
        <v>257</v>
      </c>
      <c r="B543" s="12">
        <v>86</v>
      </c>
      <c r="C543" s="3">
        <v>1040</v>
      </c>
      <c r="D543" s="50">
        <f t="shared" si="13"/>
        <v>89440</v>
      </c>
      <c r="E543" s="10"/>
      <c r="F543" s="10"/>
      <c r="G543" s="10"/>
    </row>
    <row r="544" spans="1:7" ht="18.75" x14ac:dyDescent="0.3">
      <c r="A544" s="2" t="s">
        <v>46</v>
      </c>
      <c r="B544" s="12">
        <v>89</v>
      </c>
      <c r="C544" s="3">
        <v>1040</v>
      </c>
      <c r="D544" s="50">
        <f t="shared" si="13"/>
        <v>92560</v>
      </c>
      <c r="E544" s="10"/>
      <c r="F544" s="10"/>
      <c r="G544" s="10"/>
    </row>
    <row r="545" spans="1:7" ht="18.75" x14ac:dyDescent="0.3">
      <c r="A545" s="2" t="s">
        <v>70</v>
      </c>
      <c r="B545" s="12">
        <v>64</v>
      </c>
      <c r="C545" s="5">
        <v>3120</v>
      </c>
      <c r="D545" s="50">
        <f t="shared" si="13"/>
        <v>199680</v>
      </c>
      <c r="E545" s="10"/>
      <c r="F545" s="10"/>
      <c r="G545" s="10"/>
    </row>
    <row r="546" spans="1:7" ht="18.75" x14ac:dyDescent="0.3">
      <c r="A546" s="2" t="s">
        <v>61</v>
      </c>
      <c r="B546" s="12">
        <v>66</v>
      </c>
      <c r="C546" s="3">
        <v>3120</v>
      </c>
      <c r="D546" s="50">
        <f t="shared" si="13"/>
        <v>205920</v>
      </c>
      <c r="E546" s="10"/>
      <c r="F546" s="10"/>
      <c r="G546" s="14">
        <f>E541-D556-D557-D558-D559-D560-D561-D562-D563-D564-D565-D566-D567-D568-D569-D570-D571-D572-D573-D574-D575-D576-D577-D578-D578</f>
        <v>187260</v>
      </c>
    </row>
    <row r="547" spans="1:7" ht="18.75" x14ac:dyDescent="0.3">
      <c r="A547" s="2" t="s">
        <v>156</v>
      </c>
      <c r="B547" s="12">
        <v>60</v>
      </c>
      <c r="C547" s="3">
        <v>1040</v>
      </c>
      <c r="D547" s="50">
        <f t="shared" si="13"/>
        <v>62400</v>
      </c>
      <c r="E547" s="10"/>
      <c r="F547" s="10"/>
      <c r="G547" s="10"/>
    </row>
    <row r="548" spans="1:7" ht="18.75" x14ac:dyDescent="0.3">
      <c r="A548" s="2" t="s">
        <v>101</v>
      </c>
      <c r="B548" s="12">
        <v>43</v>
      </c>
      <c r="C548" s="3">
        <v>3120</v>
      </c>
      <c r="D548" s="50">
        <f t="shared" si="13"/>
        <v>134160</v>
      </c>
      <c r="E548" s="10"/>
      <c r="F548" s="10"/>
    </row>
    <row r="549" spans="1:7" ht="18.75" x14ac:dyDescent="0.3">
      <c r="A549" s="2" t="s">
        <v>41</v>
      </c>
      <c r="B549" s="15">
        <v>49</v>
      </c>
      <c r="C549" s="3">
        <v>3120</v>
      </c>
      <c r="D549" s="50">
        <f t="shared" si="13"/>
        <v>152880</v>
      </c>
      <c r="E549" s="10"/>
      <c r="F549" s="10"/>
    </row>
    <row r="550" spans="1:7" ht="18.75" x14ac:dyDescent="0.3">
      <c r="A550" s="2" t="s">
        <v>163</v>
      </c>
      <c r="B550" s="15">
        <v>25</v>
      </c>
      <c r="C550" s="3">
        <v>3120</v>
      </c>
      <c r="D550" s="50">
        <f t="shared" si="13"/>
        <v>78000</v>
      </c>
      <c r="E550" s="10"/>
      <c r="F550" s="16"/>
    </row>
    <row r="551" spans="1:7" ht="18.75" x14ac:dyDescent="0.3">
      <c r="A551" s="2"/>
      <c r="B551" s="15"/>
      <c r="C551" s="3"/>
      <c r="D551" s="50"/>
      <c r="E551" s="10"/>
      <c r="F551" s="17"/>
    </row>
    <row r="552" spans="1:7" ht="18.75" x14ac:dyDescent="0.3">
      <c r="A552" s="2"/>
      <c r="B552" s="12"/>
      <c r="C552" s="3"/>
      <c r="D552" s="50"/>
      <c r="E552" s="10"/>
      <c r="F552" s="10"/>
    </row>
    <row r="553" spans="1:7" ht="18.75" x14ac:dyDescent="0.3">
      <c r="A553" s="2"/>
      <c r="B553" s="12"/>
      <c r="C553" s="3"/>
      <c r="D553" s="50"/>
      <c r="E553" s="10"/>
      <c r="F553" s="10"/>
    </row>
    <row r="554" spans="1:7" ht="18.75" x14ac:dyDescent="0.3">
      <c r="A554" s="18"/>
      <c r="B554" s="19"/>
      <c r="C554" s="20"/>
      <c r="D554" s="13"/>
      <c r="E554" s="10"/>
      <c r="F554" s="10"/>
    </row>
    <row r="555" spans="1:7" ht="18.75" x14ac:dyDescent="0.3">
      <c r="A555" s="1" t="s">
        <v>10</v>
      </c>
      <c r="B555" s="1" t="s">
        <v>11</v>
      </c>
      <c r="C555" s="1" t="s">
        <v>12</v>
      </c>
      <c r="D555" s="1" t="s">
        <v>13</v>
      </c>
      <c r="E555" s="1" t="s">
        <v>14</v>
      </c>
      <c r="F555" s="10"/>
    </row>
    <row r="556" spans="1:7" ht="18.75" x14ac:dyDescent="0.3">
      <c r="A556" s="3" t="s">
        <v>113</v>
      </c>
      <c r="B556" s="4" t="s">
        <v>301</v>
      </c>
      <c r="C556" s="3">
        <v>3120</v>
      </c>
      <c r="D556" s="58">
        <v>78000</v>
      </c>
      <c r="E556" s="3"/>
      <c r="F556" s="10"/>
    </row>
    <row r="557" spans="1:7" ht="18.75" x14ac:dyDescent="0.3">
      <c r="A557" s="3" t="s">
        <v>379</v>
      </c>
      <c r="B557" s="4" t="s">
        <v>672</v>
      </c>
      <c r="C557" s="3">
        <v>1040</v>
      </c>
      <c r="D557" s="85">
        <v>60320</v>
      </c>
      <c r="E557" s="5" t="s">
        <v>677</v>
      </c>
      <c r="F557" s="10"/>
    </row>
    <row r="558" spans="1:7" ht="18.75" x14ac:dyDescent="0.3">
      <c r="A558" s="3" t="s">
        <v>15</v>
      </c>
      <c r="B558" s="4" t="s">
        <v>673</v>
      </c>
      <c r="C558" s="3">
        <v>1040</v>
      </c>
      <c r="D558" s="58">
        <v>60320</v>
      </c>
      <c r="E558" s="5"/>
      <c r="F558" s="10"/>
    </row>
    <row r="559" spans="1:7" ht="18.75" x14ac:dyDescent="0.3">
      <c r="A559" s="3" t="s">
        <v>674</v>
      </c>
      <c r="B559" s="4" t="s">
        <v>675</v>
      </c>
      <c r="C559" s="5">
        <v>1040</v>
      </c>
      <c r="D559" s="58">
        <v>60320</v>
      </c>
      <c r="E559" s="3"/>
      <c r="F559" s="10"/>
    </row>
    <row r="560" spans="1:7" ht="18.75" x14ac:dyDescent="0.3">
      <c r="A560" s="6" t="s">
        <v>16</v>
      </c>
      <c r="B560" s="4" t="s">
        <v>676</v>
      </c>
      <c r="C560" s="3">
        <v>1040</v>
      </c>
      <c r="D560" s="58">
        <v>92560</v>
      </c>
      <c r="E560" s="5"/>
      <c r="F560" s="10"/>
    </row>
    <row r="561" spans="1:6" ht="18.75" x14ac:dyDescent="0.3">
      <c r="A561" s="3" t="s">
        <v>42</v>
      </c>
      <c r="B561" s="4" t="s">
        <v>678</v>
      </c>
      <c r="C561" s="3">
        <v>1040</v>
      </c>
      <c r="D561" s="58">
        <v>92500</v>
      </c>
      <c r="E561" s="5"/>
      <c r="F561" s="10"/>
    </row>
    <row r="562" spans="1:6" ht="18.75" x14ac:dyDescent="0.3">
      <c r="A562" s="3" t="s">
        <v>104</v>
      </c>
      <c r="B562" s="4" t="s">
        <v>705</v>
      </c>
      <c r="C562" s="3">
        <v>910</v>
      </c>
      <c r="D562" s="58">
        <v>80990</v>
      </c>
      <c r="E562" s="5"/>
      <c r="F562" s="10"/>
    </row>
    <row r="563" spans="1:6" ht="18.75" x14ac:dyDescent="0.3">
      <c r="A563" s="3" t="s">
        <v>674</v>
      </c>
      <c r="B563" s="4" t="s">
        <v>678</v>
      </c>
      <c r="C563" s="3">
        <v>130</v>
      </c>
      <c r="D563" s="58">
        <v>11570</v>
      </c>
      <c r="E563" s="3"/>
      <c r="F563" s="10"/>
    </row>
    <row r="564" spans="1:6" ht="18.75" x14ac:dyDescent="0.3">
      <c r="A564" s="3" t="s">
        <v>679</v>
      </c>
      <c r="B564" s="4" t="s">
        <v>680</v>
      </c>
      <c r="C564" s="3">
        <v>3120</v>
      </c>
      <c r="D564" s="85">
        <v>199680</v>
      </c>
      <c r="E564" s="3" t="s">
        <v>677</v>
      </c>
      <c r="F564" s="10"/>
    </row>
    <row r="565" spans="1:6" ht="18.75" x14ac:dyDescent="0.3">
      <c r="A565" s="3" t="s">
        <v>17</v>
      </c>
      <c r="B565" s="4" t="s">
        <v>681</v>
      </c>
      <c r="C565" s="3">
        <v>3120</v>
      </c>
      <c r="D565" s="58">
        <v>205920</v>
      </c>
      <c r="E565" s="3"/>
      <c r="F565" s="10"/>
    </row>
    <row r="566" spans="1:6" ht="18.75" x14ac:dyDescent="0.3">
      <c r="A566" s="3" t="s">
        <v>15</v>
      </c>
      <c r="B566" s="4" t="s">
        <v>687</v>
      </c>
      <c r="C566" s="3">
        <v>1040</v>
      </c>
      <c r="D566" s="58">
        <v>89440</v>
      </c>
      <c r="E566" s="3"/>
      <c r="F566" s="10"/>
    </row>
    <row r="567" spans="1:6" ht="18.75" x14ac:dyDescent="0.3">
      <c r="A567" s="3" t="s">
        <v>15</v>
      </c>
      <c r="B567" s="4" t="s">
        <v>689</v>
      </c>
      <c r="C567" s="3">
        <v>1040</v>
      </c>
      <c r="D567" s="58">
        <v>89440</v>
      </c>
      <c r="E567" s="3"/>
      <c r="F567" s="10"/>
    </row>
    <row r="568" spans="1:6" ht="18.75" x14ac:dyDescent="0.3">
      <c r="A568" s="3" t="s">
        <v>16</v>
      </c>
      <c r="B568" s="4" t="s">
        <v>688</v>
      </c>
      <c r="C568" s="3">
        <v>1040</v>
      </c>
      <c r="D568" s="85">
        <v>89440</v>
      </c>
      <c r="E568" s="3" t="s">
        <v>677</v>
      </c>
      <c r="F568" s="10"/>
    </row>
    <row r="569" spans="1:6" ht="18.75" x14ac:dyDescent="0.3">
      <c r="A569" s="3" t="s">
        <v>42</v>
      </c>
      <c r="B569" s="4" t="s">
        <v>466</v>
      </c>
      <c r="C569" s="3">
        <v>3120</v>
      </c>
      <c r="D569" s="5">
        <v>134160</v>
      </c>
      <c r="E569" s="3"/>
      <c r="F569" s="10"/>
    </row>
    <row r="570" spans="1:6" ht="18.75" x14ac:dyDescent="0.3">
      <c r="A570" s="3" t="s">
        <v>67</v>
      </c>
      <c r="B570" s="4" t="s">
        <v>67</v>
      </c>
      <c r="C570" s="3">
        <v>3120</v>
      </c>
      <c r="D570" s="5">
        <v>152880</v>
      </c>
      <c r="E570" s="3"/>
      <c r="F570" s="10"/>
    </row>
    <row r="571" spans="1:6" ht="18.75" x14ac:dyDescent="0.3">
      <c r="A571" s="3"/>
      <c r="B571" s="4"/>
      <c r="C571" s="5"/>
      <c r="D571" s="5"/>
      <c r="E571" s="3"/>
      <c r="F571" s="10"/>
    </row>
    <row r="572" spans="1:6" ht="18.75" x14ac:dyDescent="0.3">
      <c r="A572" s="3"/>
      <c r="B572" s="4"/>
      <c r="C572" s="5"/>
      <c r="D572" s="5"/>
      <c r="E572" s="3"/>
    </row>
    <row r="573" spans="1:6" ht="18.75" x14ac:dyDescent="0.3">
      <c r="A573" s="3"/>
      <c r="B573" s="4"/>
      <c r="C573" s="5"/>
      <c r="D573" s="5"/>
      <c r="E573" s="3"/>
    </row>
    <row r="574" spans="1:6" ht="18.75" x14ac:dyDescent="0.3">
      <c r="A574" s="3"/>
      <c r="B574" s="4"/>
      <c r="C574" s="5"/>
      <c r="D574" s="5"/>
      <c r="E574" s="3"/>
    </row>
    <row r="575" spans="1:6" ht="18.75" x14ac:dyDescent="0.3">
      <c r="A575" s="3"/>
      <c r="B575" s="4"/>
      <c r="C575" s="5"/>
      <c r="D575" s="5"/>
      <c r="E575" s="3"/>
    </row>
    <row r="576" spans="1:6" ht="18.75" x14ac:dyDescent="0.3">
      <c r="A576" s="3"/>
      <c r="B576" s="4"/>
      <c r="C576" s="5"/>
      <c r="D576" s="5"/>
      <c r="E576" s="3"/>
    </row>
    <row r="577" spans="1:7" ht="18.75" x14ac:dyDescent="0.3">
      <c r="A577" s="3"/>
      <c r="B577" s="4"/>
      <c r="C577" s="5"/>
      <c r="D577" s="5"/>
      <c r="E577" s="37"/>
    </row>
    <row r="578" spans="1:7" ht="18.75" x14ac:dyDescent="0.3">
      <c r="A578" s="3"/>
      <c r="B578" s="4"/>
      <c r="C578" s="5"/>
      <c r="D578" s="5"/>
      <c r="E578" s="37" t="s">
        <v>797</v>
      </c>
    </row>
    <row r="581" spans="1:7" x14ac:dyDescent="0.25">
      <c r="B581" s="134" t="s">
        <v>765</v>
      </c>
      <c r="C581" s="134"/>
      <c r="D581" s="134"/>
    </row>
    <row r="582" spans="1:7" x14ac:dyDescent="0.25">
      <c r="B582" s="134"/>
      <c r="C582" s="134"/>
      <c r="D582" s="134"/>
    </row>
    <row r="583" spans="1:7" ht="18.75" x14ac:dyDescent="0.3">
      <c r="A583" s="35" t="s">
        <v>0</v>
      </c>
      <c r="B583" s="35" t="s">
        <v>1</v>
      </c>
      <c r="C583" s="35" t="s">
        <v>2</v>
      </c>
      <c r="D583" s="35" t="s">
        <v>3</v>
      </c>
      <c r="E583" s="35" t="s">
        <v>4</v>
      </c>
      <c r="F583" s="35" t="s">
        <v>5</v>
      </c>
      <c r="G583" s="35" t="s">
        <v>6</v>
      </c>
    </row>
    <row r="584" spans="1:7" ht="18.75" x14ac:dyDescent="0.3">
      <c r="A584" s="22"/>
      <c r="B584" s="22" t="s">
        <v>139</v>
      </c>
      <c r="C584" s="23" t="s">
        <v>791</v>
      </c>
      <c r="D584" s="24">
        <v>256</v>
      </c>
      <c r="E584" s="22">
        <v>900</v>
      </c>
      <c r="F584" s="25"/>
      <c r="G584" s="26">
        <f>D584*E584</f>
        <v>230400</v>
      </c>
    </row>
    <row r="585" spans="1:7" ht="18.75" x14ac:dyDescent="0.3">
      <c r="A585" s="1" t="s">
        <v>7</v>
      </c>
      <c r="B585" s="7">
        <v>5.4</v>
      </c>
      <c r="C585" s="48" t="s">
        <v>3</v>
      </c>
      <c r="D585" s="48" t="s">
        <v>8</v>
      </c>
      <c r="E585" s="46">
        <v>138240</v>
      </c>
      <c r="F585" s="10"/>
      <c r="G585" s="11">
        <v>92160</v>
      </c>
    </row>
    <row r="586" spans="1:7" ht="18.75" x14ac:dyDescent="0.3">
      <c r="A586" s="2" t="s">
        <v>630</v>
      </c>
      <c r="B586" s="12">
        <v>80</v>
      </c>
      <c r="C586" s="5">
        <v>256</v>
      </c>
      <c r="D586" s="50">
        <f t="shared" ref="D586:D594" si="14">B586*C586</f>
        <v>20480</v>
      </c>
      <c r="E586" s="21">
        <v>0.6</v>
      </c>
      <c r="F586" s="10"/>
      <c r="G586" s="21">
        <v>0.4</v>
      </c>
    </row>
    <row r="587" spans="1:7" ht="18.75" x14ac:dyDescent="0.3">
      <c r="A587" s="2" t="s">
        <v>631</v>
      </c>
      <c r="B587" s="12">
        <v>64</v>
      </c>
      <c r="C587" s="3">
        <v>256</v>
      </c>
      <c r="D587" s="50">
        <f t="shared" si="14"/>
        <v>16384</v>
      </c>
      <c r="E587" s="10"/>
      <c r="F587" s="10"/>
      <c r="G587" s="10"/>
    </row>
    <row r="588" spans="1:7" ht="18.75" x14ac:dyDescent="0.3">
      <c r="A588" s="2" t="s">
        <v>396</v>
      </c>
      <c r="B588" s="12">
        <v>80</v>
      </c>
      <c r="C588" s="3">
        <v>256</v>
      </c>
      <c r="D588" s="50">
        <f t="shared" si="14"/>
        <v>20480</v>
      </c>
      <c r="E588" s="10"/>
      <c r="F588" s="10"/>
      <c r="G588" s="10"/>
    </row>
    <row r="589" spans="1:7" ht="18.75" x14ac:dyDescent="0.3">
      <c r="A589" s="2" t="s">
        <v>339</v>
      </c>
      <c r="B589" s="12">
        <v>65</v>
      </c>
      <c r="C589" s="5">
        <v>256</v>
      </c>
      <c r="D589" s="50">
        <f t="shared" si="14"/>
        <v>16640</v>
      </c>
      <c r="E589" s="10"/>
      <c r="F589" s="10"/>
      <c r="G589" s="10"/>
    </row>
    <row r="590" spans="1:7" ht="18.75" x14ac:dyDescent="0.3">
      <c r="A590" s="2" t="s">
        <v>488</v>
      </c>
      <c r="B590" s="12">
        <v>60</v>
      </c>
      <c r="C590" s="3">
        <v>256</v>
      </c>
      <c r="D590" s="50">
        <f t="shared" si="14"/>
        <v>15360</v>
      </c>
      <c r="E590" s="10"/>
      <c r="F590" s="10"/>
      <c r="G590" s="14">
        <f>E585-D600-D601-D602-D603-D604-D605-D606-D607-D608-D609-D610-D611-D612-D613-D614-D615-D616-D617-D618-D619-D620-D621-D622-D622</f>
        <v>-138240</v>
      </c>
    </row>
    <row r="591" spans="1:7" ht="18.75" x14ac:dyDescent="0.3">
      <c r="A591" s="2" t="s">
        <v>632</v>
      </c>
      <c r="B591" s="12">
        <v>43</v>
      </c>
      <c r="C591" s="3">
        <v>256</v>
      </c>
      <c r="D591" s="50">
        <f t="shared" si="14"/>
        <v>11008</v>
      </c>
      <c r="E591" s="10"/>
      <c r="F591" s="10"/>
      <c r="G591" s="10"/>
    </row>
    <row r="592" spans="1:7" ht="18.75" x14ac:dyDescent="0.3">
      <c r="A592" s="2" t="s">
        <v>41</v>
      </c>
      <c r="B592" s="12">
        <v>148</v>
      </c>
      <c r="C592" s="3">
        <v>256</v>
      </c>
      <c r="D592" s="50">
        <f t="shared" si="14"/>
        <v>37888</v>
      </c>
      <c r="E592" s="10"/>
      <c r="F592" s="10"/>
    </row>
    <row r="593" spans="1:6" ht="18.75" x14ac:dyDescent="0.3">
      <c r="A593" s="2"/>
      <c r="B593" s="15"/>
      <c r="C593" s="3"/>
      <c r="D593" s="50">
        <f t="shared" si="14"/>
        <v>0</v>
      </c>
      <c r="E593" s="10"/>
      <c r="F593" s="10"/>
    </row>
    <row r="594" spans="1:6" ht="18.75" x14ac:dyDescent="0.3">
      <c r="A594" s="2"/>
      <c r="B594" s="15"/>
      <c r="C594" s="3"/>
      <c r="D594" s="50">
        <f t="shared" si="14"/>
        <v>0</v>
      </c>
      <c r="E594" s="10"/>
      <c r="F594" s="16"/>
    </row>
    <row r="595" spans="1:6" ht="18.75" x14ac:dyDescent="0.3">
      <c r="A595" s="2"/>
      <c r="B595" s="15"/>
      <c r="C595" s="3"/>
      <c r="D595" s="50"/>
      <c r="E595" s="10"/>
      <c r="F595" s="17"/>
    </row>
    <row r="596" spans="1:6" ht="18.75" x14ac:dyDescent="0.3">
      <c r="A596" s="2"/>
      <c r="B596" s="12"/>
      <c r="C596" s="3"/>
      <c r="D596" s="50"/>
      <c r="E596" s="10"/>
      <c r="F596" s="10"/>
    </row>
    <row r="597" spans="1:6" ht="18.75" x14ac:dyDescent="0.3">
      <c r="A597" s="2"/>
      <c r="B597" s="12"/>
      <c r="C597" s="3"/>
      <c r="D597" s="50"/>
      <c r="E597" s="10"/>
      <c r="F597" s="10"/>
    </row>
    <row r="598" spans="1:6" ht="18.75" x14ac:dyDescent="0.3">
      <c r="A598" s="18"/>
      <c r="B598" s="19"/>
      <c r="C598" s="20"/>
      <c r="D598" s="13"/>
      <c r="E598" s="10"/>
      <c r="F598" s="10"/>
    </row>
    <row r="599" spans="1:6" ht="18.75" x14ac:dyDescent="0.3">
      <c r="A599" s="1" t="s">
        <v>10</v>
      </c>
      <c r="B599" s="1" t="s">
        <v>11</v>
      </c>
      <c r="C599" s="1" t="s">
        <v>12</v>
      </c>
      <c r="D599" s="1" t="s">
        <v>13</v>
      </c>
      <c r="E599" s="1" t="s">
        <v>14</v>
      </c>
      <c r="F599" s="10"/>
    </row>
    <row r="600" spans="1:6" ht="18.75" x14ac:dyDescent="0.3">
      <c r="A600" s="3" t="s">
        <v>15</v>
      </c>
      <c r="B600" s="4" t="s">
        <v>792</v>
      </c>
      <c r="C600" s="3">
        <v>256</v>
      </c>
      <c r="D600" s="58">
        <v>20480</v>
      </c>
      <c r="E600" s="3"/>
      <c r="F600" s="10"/>
    </row>
    <row r="601" spans="1:6" ht="18.75" x14ac:dyDescent="0.3">
      <c r="A601" s="3" t="s">
        <v>15</v>
      </c>
      <c r="B601" s="4" t="s">
        <v>86</v>
      </c>
      <c r="C601" s="3">
        <v>256</v>
      </c>
      <c r="D601" s="58">
        <v>16384</v>
      </c>
      <c r="E601" s="5"/>
      <c r="F601" s="10"/>
    </row>
    <row r="602" spans="1:6" ht="18.75" x14ac:dyDescent="0.3">
      <c r="A602" s="3" t="s">
        <v>783</v>
      </c>
      <c r="B602" s="4" t="s">
        <v>789</v>
      </c>
      <c r="C602" s="3">
        <v>256</v>
      </c>
      <c r="D602" s="58">
        <v>20480</v>
      </c>
      <c r="E602" s="5"/>
      <c r="F602" s="10"/>
    </row>
    <row r="603" spans="1:6" ht="18.75" x14ac:dyDescent="0.3">
      <c r="A603" s="3" t="s">
        <v>783</v>
      </c>
      <c r="B603" s="4" t="s">
        <v>793</v>
      </c>
      <c r="C603" s="3">
        <v>256</v>
      </c>
      <c r="D603" s="58">
        <v>16640</v>
      </c>
      <c r="E603" s="3"/>
      <c r="F603" s="10"/>
    </row>
    <row r="604" spans="1:6" ht="18.75" x14ac:dyDescent="0.3">
      <c r="A604" s="6" t="s">
        <v>771</v>
      </c>
      <c r="B604" s="4" t="s">
        <v>794</v>
      </c>
      <c r="C604" s="3">
        <v>256</v>
      </c>
      <c r="D604" s="58">
        <v>15360</v>
      </c>
      <c r="E604" s="5"/>
      <c r="F604" s="10"/>
    </row>
    <row r="605" spans="1:6" ht="18.75" x14ac:dyDescent="0.3">
      <c r="A605" s="3" t="s">
        <v>796</v>
      </c>
      <c r="B605" s="4" t="s">
        <v>795</v>
      </c>
      <c r="C605" s="3">
        <v>256</v>
      </c>
      <c r="D605" s="58">
        <v>11008</v>
      </c>
      <c r="E605" s="5"/>
      <c r="F605" s="10"/>
    </row>
    <row r="606" spans="1:6" ht="18.75" x14ac:dyDescent="0.3">
      <c r="A606" s="3" t="s">
        <v>31</v>
      </c>
      <c r="B606" s="4" t="s">
        <v>26</v>
      </c>
      <c r="C606" s="3">
        <v>256</v>
      </c>
      <c r="D606" s="58">
        <v>37888</v>
      </c>
      <c r="E606" s="5"/>
      <c r="F606" s="10"/>
    </row>
    <row r="607" spans="1:6" ht="18.75" x14ac:dyDescent="0.3">
      <c r="A607" s="3"/>
      <c r="B607" s="4"/>
      <c r="C607" s="3"/>
      <c r="D607" s="58">
        <f>SUM(D600:D606)</f>
        <v>138240</v>
      </c>
      <c r="E607" s="3"/>
      <c r="F607" s="10"/>
    </row>
    <row r="608" spans="1:6" ht="18.75" x14ac:dyDescent="0.3">
      <c r="A608" s="3"/>
      <c r="B608" s="4"/>
      <c r="C608" s="3"/>
      <c r="D608" s="58"/>
      <c r="E608" s="3"/>
      <c r="F608" s="10"/>
    </row>
    <row r="609" spans="1:6" ht="18.75" x14ac:dyDescent="0.3">
      <c r="A609" s="3"/>
      <c r="B609" s="4"/>
      <c r="C609" s="3"/>
      <c r="D609" s="58"/>
      <c r="E609" s="3"/>
      <c r="F609" s="10"/>
    </row>
    <row r="610" spans="1:6" ht="18.75" x14ac:dyDescent="0.3">
      <c r="A610" s="3"/>
      <c r="B610" s="4"/>
      <c r="C610" s="3"/>
      <c r="D610" s="58"/>
      <c r="E610" s="3"/>
      <c r="F610" s="10"/>
    </row>
    <row r="611" spans="1:6" ht="18.75" x14ac:dyDescent="0.3">
      <c r="A611" s="3"/>
      <c r="B611" s="4"/>
      <c r="C611" s="3"/>
      <c r="D611" s="58"/>
      <c r="E611" s="3"/>
      <c r="F611" s="10"/>
    </row>
    <row r="612" spans="1:6" ht="18.75" x14ac:dyDescent="0.3">
      <c r="A612" s="3"/>
      <c r="B612" s="4"/>
      <c r="C612" s="3"/>
      <c r="D612" s="5"/>
      <c r="E612" s="3" t="s">
        <v>249</v>
      </c>
      <c r="F612" s="10"/>
    </row>
    <row r="613" spans="1:6" ht="18.75" x14ac:dyDescent="0.3">
      <c r="A613" s="3"/>
      <c r="B613" s="4"/>
      <c r="C613" s="3"/>
      <c r="D613" s="5"/>
      <c r="E613" s="3"/>
      <c r="F613" s="10"/>
    </row>
    <row r="614" spans="1:6" ht="18.75" x14ac:dyDescent="0.3">
      <c r="A614" s="3"/>
      <c r="B614" s="4"/>
      <c r="C614" s="3"/>
      <c r="D614" s="5"/>
      <c r="E614" s="3"/>
      <c r="F614" s="10"/>
    </row>
    <row r="615" spans="1:6" ht="18.75" x14ac:dyDescent="0.3">
      <c r="A615" s="3"/>
      <c r="B615" s="4"/>
      <c r="C615" s="5"/>
      <c r="D615" s="5"/>
      <c r="E615" s="3"/>
      <c r="F615" s="10"/>
    </row>
    <row r="616" spans="1:6" ht="18.75" x14ac:dyDescent="0.3">
      <c r="A616" s="3"/>
      <c r="B616" s="4"/>
      <c r="C616" s="5"/>
      <c r="D616" s="5"/>
      <c r="E616" s="3"/>
    </row>
    <row r="617" spans="1:6" ht="18.75" x14ac:dyDescent="0.3">
      <c r="A617" s="3"/>
      <c r="B617" s="4"/>
      <c r="C617" s="5"/>
      <c r="D617" s="5"/>
      <c r="E617" s="3"/>
    </row>
    <row r="618" spans="1:6" ht="18.75" x14ac:dyDescent="0.3">
      <c r="A618" s="3"/>
      <c r="B618" s="4"/>
      <c r="C618" s="5"/>
      <c r="D618" s="5"/>
      <c r="E618" s="3"/>
    </row>
    <row r="619" spans="1:6" ht="18.75" x14ac:dyDescent="0.3">
      <c r="A619" s="3"/>
      <c r="B619" s="4"/>
      <c r="C619" s="5"/>
      <c r="D619" s="5"/>
      <c r="E619" s="3"/>
    </row>
    <row r="620" spans="1:6" ht="18.75" x14ac:dyDescent="0.3">
      <c r="A620" s="3"/>
      <c r="B620" s="4"/>
      <c r="C620" s="5"/>
      <c r="D620" s="5"/>
      <c r="E620" s="3"/>
    </row>
    <row r="621" spans="1:6" ht="18.75" x14ac:dyDescent="0.3">
      <c r="A621" s="3"/>
      <c r="B621" s="4"/>
      <c r="C621" s="5"/>
      <c r="D621" s="5"/>
      <c r="E621" s="37"/>
    </row>
    <row r="622" spans="1:6" ht="18.75" x14ac:dyDescent="0.3">
      <c r="A622" s="3"/>
      <c r="B622" s="4"/>
      <c r="C622" s="5"/>
      <c r="D622" s="5"/>
      <c r="E622" s="37"/>
    </row>
    <row r="627" spans="1:7" x14ac:dyDescent="0.25">
      <c r="A627" s="134" t="s">
        <v>765</v>
      </c>
      <c r="B627" s="134"/>
      <c r="C627" s="134"/>
    </row>
    <row r="628" spans="1:7" x14ac:dyDescent="0.25">
      <c r="A628" s="134"/>
      <c r="B628" s="134"/>
      <c r="C628" s="134"/>
    </row>
    <row r="630" spans="1:7" ht="18.75" x14ac:dyDescent="0.3">
      <c r="A630" s="35" t="s">
        <v>0</v>
      </c>
      <c r="B630" s="35" t="s">
        <v>1</v>
      </c>
      <c r="C630" s="35" t="s">
        <v>2</v>
      </c>
      <c r="D630" s="35" t="s">
        <v>3</v>
      </c>
      <c r="E630" s="35" t="s">
        <v>4</v>
      </c>
      <c r="F630" s="35" t="s">
        <v>5</v>
      </c>
      <c r="G630" s="35" t="s">
        <v>6</v>
      </c>
    </row>
    <row r="631" spans="1:7" ht="18.75" x14ac:dyDescent="0.3">
      <c r="A631" s="22">
        <v>27</v>
      </c>
      <c r="B631" s="22" t="s">
        <v>139</v>
      </c>
      <c r="C631" s="23" t="s">
        <v>763</v>
      </c>
      <c r="D631" s="24">
        <v>1024</v>
      </c>
      <c r="E631" s="22">
        <v>900</v>
      </c>
      <c r="F631" s="25"/>
      <c r="G631" s="26">
        <f>D631*E631</f>
        <v>921600</v>
      </c>
    </row>
    <row r="632" spans="1:7" ht="18.75" x14ac:dyDescent="0.3">
      <c r="A632" s="1" t="s">
        <v>7</v>
      </c>
      <c r="B632" s="7">
        <v>5.4</v>
      </c>
      <c r="C632" s="48" t="s">
        <v>3</v>
      </c>
      <c r="D632" s="48" t="s">
        <v>8</v>
      </c>
      <c r="E632" s="46">
        <v>552960</v>
      </c>
      <c r="F632" s="10"/>
      <c r="G632" s="11">
        <v>368640</v>
      </c>
    </row>
    <row r="633" spans="1:7" ht="18.75" x14ac:dyDescent="0.3">
      <c r="A633" s="2" t="s">
        <v>9</v>
      </c>
      <c r="B633" s="12">
        <v>58</v>
      </c>
      <c r="C633" s="5">
        <v>1024</v>
      </c>
      <c r="D633" s="50">
        <f t="shared" ref="D633:D641" si="15">B633*C633</f>
        <v>59392</v>
      </c>
      <c r="E633" s="21">
        <v>0.6</v>
      </c>
      <c r="F633" s="10"/>
      <c r="G633" s="21">
        <v>0.4</v>
      </c>
    </row>
    <row r="634" spans="1:7" ht="18.75" x14ac:dyDescent="0.3">
      <c r="A634" s="2" t="s">
        <v>766</v>
      </c>
      <c r="B634" s="12">
        <v>86</v>
      </c>
      <c r="C634" s="5">
        <v>1024</v>
      </c>
      <c r="D634" s="50">
        <f t="shared" si="15"/>
        <v>88064</v>
      </c>
      <c r="E634" s="10"/>
      <c r="F634" s="10"/>
      <c r="G634" s="10"/>
    </row>
    <row r="635" spans="1:7" ht="18.75" x14ac:dyDescent="0.3">
      <c r="A635" s="2" t="s">
        <v>284</v>
      </c>
      <c r="B635" s="12">
        <v>60</v>
      </c>
      <c r="C635" s="5">
        <v>1024</v>
      </c>
      <c r="D635" s="50">
        <f t="shared" si="15"/>
        <v>61440</v>
      </c>
      <c r="E635" s="10"/>
      <c r="F635" s="10"/>
      <c r="G635" s="10"/>
    </row>
    <row r="636" spans="1:7" ht="18.75" x14ac:dyDescent="0.3">
      <c r="A636" s="2" t="s">
        <v>46</v>
      </c>
      <c r="B636" s="12">
        <v>89</v>
      </c>
      <c r="C636" s="5">
        <v>1024</v>
      </c>
      <c r="D636" s="50">
        <f t="shared" si="15"/>
        <v>91136</v>
      </c>
      <c r="E636" s="10"/>
      <c r="F636" s="10"/>
      <c r="G636" s="10"/>
    </row>
    <row r="637" spans="1:7" ht="18.75" x14ac:dyDescent="0.3">
      <c r="A637" s="2" t="s">
        <v>75</v>
      </c>
      <c r="B637" s="12">
        <v>66</v>
      </c>
      <c r="C637" s="5">
        <v>1024</v>
      </c>
      <c r="D637" s="50">
        <f t="shared" si="15"/>
        <v>67584</v>
      </c>
      <c r="E637" s="10"/>
      <c r="F637" s="10"/>
      <c r="G637" s="14">
        <f>E632-D647-D648-D649-D650-D651-D652-D653-D654-D655-D656-D657-D658-D659-D660-D661-D662-D663-D664-D665-D666-D667-D668-D669-D669</f>
        <v>-552960</v>
      </c>
    </row>
    <row r="638" spans="1:7" ht="18.75" x14ac:dyDescent="0.3">
      <c r="A638" s="2" t="s">
        <v>767</v>
      </c>
      <c r="B638" s="12">
        <v>64</v>
      </c>
      <c r="C638" s="5">
        <v>1024</v>
      </c>
      <c r="D638" s="50">
        <f t="shared" si="15"/>
        <v>65536</v>
      </c>
      <c r="E638" s="10"/>
      <c r="F638" s="10"/>
      <c r="G638" s="10"/>
    </row>
    <row r="639" spans="1:7" ht="18.75" x14ac:dyDescent="0.3">
      <c r="A639" s="2" t="s">
        <v>53</v>
      </c>
      <c r="B639" s="12">
        <v>43</v>
      </c>
      <c r="C639" s="5">
        <v>1024</v>
      </c>
      <c r="D639" s="50">
        <f t="shared" si="15"/>
        <v>44032</v>
      </c>
      <c r="E639" s="10"/>
      <c r="F639" s="10"/>
    </row>
    <row r="640" spans="1:7" ht="18.75" x14ac:dyDescent="0.3">
      <c r="A640" s="2" t="s">
        <v>41</v>
      </c>
      <c r="B640" s="15">
        <v>74</v>
      </c>
      <c r="C640" s="3">
        <v>1024</v>
      </c>
      <c r="D640" s="50">
        <f t="shared" si="15"/>
        <v>75776</v>
      </c>
      <c r="E640" s="10"/>
      <c r="F640" s="10"/>
    </row>
    <row r="641" spans="1:6" ht="18.75" x14ac:dyDescent="0.3">
      <c r="A641" s="2"/>
      <c r="B641" s="15"/>
      <c r="C641" s="3"/>
      <c r="D641" s="50">
        <f t="shared" si="15"/>
        <v>0</v>
      </c>
      <c r="E641" s="10"/>
      <c r="F641" s="16"/>
    </row>
    <row r="642" spans="1:6" ht="18.75" x14ac:dyDescent="0.3">
      <c r="A642" s="2"/>
      <c r="B642" s="15"/>
      <c r="C642" s="3"/>
      <c r="D642" s="50"/>
      <c r="E642" s="10"/>
      <c r="F642" s="17"/>
    </row>
    <row r="643" spans="1:6" ht="18.75" x14ac:dyDescent="0.3">
      <c r="A643" s="2"/>
      <c r="B643" s="12"/>
      <c r="C643" s="3"/>
      <c r="D643" s="50"/>
      <c r="E643" s="10"/>
      <c r="F643" s="10"/>
    </row>
    <row r="644" spans="1:6" ht="18.75" x14ac:dyDescent="0.3">
      <c r="A644" s="2"/>
      <c r="B644" s="12"/>
      <c r="C644" s="3"/>
      <c r="D644" s="50"/>
      <c r="E644" s="10"/>
      <c r="F644" s="10"/>
    </row>
    <row r="645" spans="1:6" ht="18.75" x14ac:dyDescent="0.3">
      <c r="A645" s="18"/>
      <c r="B645" s="19"/>
      <c r="C645" s="20"/>
      <c r="D645" s="13"/>
      <c r="E645" s="10"/>
      <c r="F645" s="10"/>
    </row>
    <row r="646" spans="1:6" ht="18.75" x14ac:dyDescent="0.3">
      <c r="A646" s="1" t="s">
        <v>10</v>
      </c>
      <c r="B646" s="1" t="s">
        <v>11</v>
      </c>
      <c r="C646" s="1" t="s">
        <v>12</v>
      </c>
      <c r="D646" s="1" t="s">
        <v>13</v>
      </c>
      <c r="E646" s="1" t="s">
        <v>14</v>
      </c>
      <c r="F646" s="10"/>
    </row>
    <row r="647" spans="1:6" ht="18.75" x14ac:dyDescent="0.3">
      <c r="A647" s="3" t="s">
        <v>42</v>
      </c>
      <c r="B647" s="4" t="s">
        <v>798</v>
      </c>
      <c r="C647" s="3">
        <v>768</v>
      </c>
      <c r="D647" s="3">
        <v>68352</v>
      </c>
      <c r="E647" s="3"/>
      <c r="F647" s="10"/>
    </row>
    <row r="648" spans="1:6" ht="18.75" x14ac:dyDescent="0.3">
      <c r="A648" s="3" t="s">
        <v>783</v>
      </c>
      <c r="B648" s="4" t="s">
        <v>799</v>
      </c>
      <c r="C648" s="3">
        <v>512</v>
      </c>
      <c r="D648" s="3">
        <v>29696</v>
      </c>
      <c r="E648" s="5"/>
      <c r="F648" s="10"/>
    </row>
    <row r="649" spans="1:6" ht="18.75" x14ac:dyDescent="0.3">
      <c r="A649" s="3" t="s">
        <v>266</v>
      </c>
      <c r="B649" s="4" t="s">
        <v>801</v>
      </c>
      <c r="C649" s="3">
        <v>512</v>
      </c>
      <c r="D649" s="3">
        <v>29696</v>
      </c>
      <c r="E649" s="5"/>
      <c r="F649" s="10"/>
    </row>
    <row r="650" spans="1:6" ht="18.75" x14ac:dyDescent="0.3">
      <c r="A650" s="3" t="s">
        <v>17</v>
      </c>
      <c r="B650" s="4" t="s">
        <v>767</v>
      </c>
      <c r="C650" s="3">
        <v>1024</v>
      </c>
      <c r="D650" s="3">
        <v>65536</v>
      </c>
      <c r="E650" s="3"/>
      <c r="F650" s="10"/>
    </row>
    <row r="651" spans="1:6" ht="18.75" x14ac:dyDescent="0.3">
      <c r="A651" s="3" t="s">
        <v>771</v>
      </c>
      <c r="B651" s="4" t="s">
        <v>774</v>
      </c>
      <c r="C651" s="3">
        <v>1024</v>
      </c>
      <c r="D651" s="3">
        <v>67584</v>
      </c>
      <c r="E651" s="5"/>
      <c r="F651" s="10"/>
    </row>
    <row r="652" spans="1:6" ht="18.75" x14ac:dyDescent="0.3">
      <c r="A652" s="3" t="s">
        <v>796</v>
      </c>
      <c r="B652" s="4" t="s">
        <v>52</v>
      </c>
      <c r="C652" s="3">
        <v>1024</v>
      </c>
      <c r="D652" s="3">
        <v>61440</v>
      </c>
      <c r="E652" s="5"/>
      <c r="F652" s="10"/>
    </row>
    <row r="653" spans="1:6" ht="18.75" x14ac:dyDescent="0.3">
      <c r="A653" s="3" t="s">
        <v>119</v>
      </c>
      <c r="B653" s="4" t="s">
        <v>800</v>
      </c>
      <c r="C653" s="3">
        <v>256</v>
      </c>
      <c r="D653" s="3">
        <v>22784</v>
      </c>
      <c r="E653" s="5"/>
      <c r="F653" s="10"/>
    </row>
    <row r="654" spans="1:6" ht="18.75" x14ac:dyDescent="0.3">
      <c r="A654" s="3" t="s">
        <v>201</v>
      </c>
      <c r="B654" s="4" t="s">
        <v>802</v>
      </c>
      <c r="C654" s="3">
        <v>512</v>
      </c>
      <c r="D654" s="3">
        <v>44032</v>
      </c>
      <c r="E654" s="3"/>
      <c r="F654" s="10"/>
    </row>
    <row r="655" spans="1:6" ht="18.75" x14ac:dyDescent="0.3">
      <c r="A655" s="3" t="s">
        <v>776</v>
      </c>
      <c r="B655" s="4" t="s">
        <v>803</v>
      </c>
      <c r="C655" s="3">
        <v>256</v>
      </c>
      <c r="D655" s="58">
        <v>22016</v>
      </c>
      <c r="E655" s="3"/>
      <c r="F655" s="10"/>
    </row>
    <row r="656" spans="1:6" ht="18.75" x14ac:dyDescent="0.3">
      <c r="A656" s="3" t="s">
        <v>771</v>
      </c>
      <c r="B656" s="4" t="s">
        <v>804</v>
      </c>
      <c r="C656" s="3">
        <v>256</v>
      </c>
      <c r="D656" s="58">
        <v>22016</v>
      </c>
      <c r="E656" s="3"/>
      <c r="F656" s="10"/>
    </row>
    <row r="657" spans="1:6" ht="18.75" x14ac:dyDescent="0.3">
      <c r="A657" s="3" t="s">
        <v>31</v>
      </c>
      <c r="B657" s="4" t="s">
        <v>26</v>
      </c>
      <c r="C657" s="3">
        <v>1024</v>
      </c>
      <c r="D657" s="58">
        <v>75776</v>
      </c>
      <c r="E657" s="3"/>
      <c r="F657" s="10"/>
    </row>
    <row r="658" spans="1:6" ht="18.75" x14ac:dyDescent="0.3">
      <c r="A658" s="3" t="s">
        <v>27</v>
      </c>
      <c r="B658" s="4" t="s">
        <v>53</v>
      </c>
      <c r="C658" s="3">
        <v>1024</v>
      </c>
      <c r="D658" s="58">
        <v>44032</v>
      </c>
      <c r="E658" s="3"/>
      <c r="F658" s="10"/>
    </row>
    <row r="659" spans="1:6" ht="18.75" x14ac:dyDescent="0.3">
      <c r="A659" s="3"/>
      <c r="B659" s="4"/>
      <c r="C659" s="3"/>
      <c r="D659" s="5">
        <f>SUM(D647:D658)</f>
        <v>552960</v>
      </c>
      <c r="E659" s="3" t="s">
        <v>249</v>
      </c>
      <c r="F659" s="10"/>
    </row>
    <row r="660" spans="1:6" ht="18.75" x14ac:dyDescent="0.3">
      <c r="A660" s="3"/>
      <c r="B660" s="4"/>
      <c r="C660" s="3"/>
      <c r="D660" s="5"/>
      <c r="E660" s="3"/>
      <c r="F660" s="10"/>
    </row>
    <row r="661" spans="1:6" ht="18.75" x14ac:dyDescent="0.3">
      <c r="A661" s="3"/>
      <c r="B661" s="4"/>
      <c r="C661" s="3"/>
      <c r="D661" s="5"/>
      <c r="E661" s="3"/>
      <c r="F661" s="10"/>
    </row>
    <row r="662" spans="1:6" ht="18.75" x14ac:dyDescent="0.3">
      <c r="A662" s="3"/>
      <c r="B662" s="4"/>
      <c r="C662" s="5"/>
      <c r="D662" s="5"/>
      <c r="E662" s="3"/>
      <c r="F662" s="10"/>
    </row>
    <row r="663" spans="1:6" ht="18.75" x14ac:dyDescent="0.3">
      <c r="A663" s="3"/>
      <c r="B663" s="4"/>
      <c r="C663" s="5"/>
      <c r="D663" s="5"/>
      <c r="E663" s="3"/>
    </row>
    <row r="664" spans="1:6" ht="18.75" x14ac:dyDescent="0.3">
      <c r="A664" s="3"/>
      <c r="B664" s="4"/>
      <c r="C664" s="5"/>
      <c r="D664" s="5"/>
      <c r="E664" s="3"/>
    </row>
    <row r="665" spans="1:6" ht="18.75" x14ac:dyDescent="0.3">
      <c r="A665" s="3"/>
      <c r="B665" s="4"/>
      <c r="C665" s="5"/>
      <c r="D665" s="5"/>
      <c r="E665" s="3"/>
    </row>
    <row r="666" spans="1:6" ht="18.75" x14ac:dyDescent="0.3">
      <c r="A666" s="3"/>
      <c r="B666" s="4"/>
      <c r="C666" s="5"/>
      <c r="D666" s="5"/>
      <c r="E666" s="3"/>
    </row>
    <row r="667" spans="1:6" ht="18.75" x14ac:dyDescent="0.3">
      <c r="A667" s="3"/>
      <c r="B667" s="4"/>
      <c r="C667" s="5"/>
      <c r="D667" s="5"/>
      <c r="E667" s="3"/>
    </row>
    <row r="668" spans="1:6" ht="18.75" x14ac:dyDescent="0.3">
      <c r="A668" s="3"/>
      <c r="B668" s="4"/>
      <c r="C668" s="5"/>
      <c r="D668" s="5"/>
      <c r="E668" s="37"/>
    </row>
    <row r="669" spans="1:6" ht="18.75" x14ac:dyDescent="0.3">
      <c r="A669" s="3"/>
      <c r="B669" s="4"/>
      <c r="C669" s="5"/>
      <c r="D669" s="5"/>
      <c r="E669" s="37"/>
    </row>
    <row r="677" spans="1:7" x14ac:dyDescent="0.25">
      <c r="A677" s="134" t="s">
        <v>765</v>
      </c>
      <c r="B677" s="134"/>
      <c r="C677" s="134"/>
    </row>
    <row r="678" spans="1:7" x14ac:dyDescent="0.25">
      <c r="A678" s="134"/>
      <c r="B678" s="134"/>
      <c r="C678" s="134"/>
    </row>
    <row r="680" spans="1:7" ht="18.75" x14ac:dyDescent="0.3">
      <c r="A680" s="35" t="s">
        <v>0</v>
      </c>
      <c r="B680" s="35" t="s">
        <v>1</v>
      </c>
      <c r="C680" s="35" t="s">
        <v>2</v>
      </c>
      <c r="D680" s="35" t="s">
        <v>3</v>
      </c>
      <c r="E680" s="35" t="s">
        <v>4</v>
      </c>
      <c r="F680" s="35" t="s">
        <v>5</v>
      </c>
      <c r="G680" s="35" t="s">
        <v>6</v>
      </c>
    </row>
    <row r="681" spans="1:7" ht="18.75" x14ac:dyDescent="0.3">
      <c r="A681" s="22">
        <v>27</v>
      </c>
      <c r="B681" s="22" t="s">
        <v>139</v>
      </c>
      <c r="C681" s="23" t="s">
        <v>757</v>
      </c>
      <c r="D681" s="24">
        <v>2016</v>
      </c>
      <c r="E681" s="22">
        <v>1000</v>
      </c>
      <c r="F681" s="25"/>
      <c r="G681" s="26">
        <f>D681*E681</f>
        <v>2016000</v>
      </c>
    </row>
    <row r="682" spans="1:7" ht="18.75" x14ac:dyDescent="0.3">
      <c r="A682" s="1" t="s">
        <v>7</v>
      </c>
      <c r="B682" s="7">
        <v>6</v>
      </c>
      <c r="C682" s="48" t="s">
        <v>3</v>
      </c>
      <c r="D682" s="48" t="s">
        <v>8</v>
      </c>
      <c r="E682" s="46">
        <v>1209600</v>
      </c>
      <c r="F682" s="10"/>
      <c r="G682" s="11">
        <v>806400</v>
      </c>
    </row>
    <row r="683" spans="1:7" ht="18.75" x14ac:dyDescent="0.3">
      <c r="A683" s="2" t="s">
        <v>9</v>
      </c>
      <c r="B683" s="12">
        <v>58</v>
      </c>
      <c r="C683" s="5">
        <v>2016</v>
      </c>
      <c r="D683" s="50">
        <f>B683*C683</f>
        <v>116928</v>
      </c>
      <c r="E683" s="21">
        <v>0.6</v>
      </c>
      <c r="F683" s="10"/>
      <c r="G683" s="21">
        <v>0.4</v>
      </c>
    </row>
    <row r="684" spans="1:7" ht="18.75" x14ac:dyDescent="0.3">
      <c r="A684" s="2" t="s">
        <v>766</v>
      </c>
      <c r="B684" s="12">
        <v>86</v>
      </c>
      <c r="C684" s="5">
        <v>2016</v>
      </c>
      <c r="D684" s="50">
        <f t="shared" ref="D684:D691" si="16">B684*C684</f>
        <v>173376</v>
      </c>
      <c r="E684" s="10"/>
      <c r="F684" s="10"/>
      <c r="G684" s="10"/>
    </row>
    <row r="685" spans="1:7" ht="18.75" x14ac:dyDescent="0.3">
      <c r="A685" s="2" t="s">
        <v>284</v>
      </c>
      <c r="B685" s="12">
        <v>60</v>
      </c>
      <c r="C685" s="5">
        <v>2016</v>
      </c>
      <c r="D685" s="50">
        <f t="shared" si="16"/>
        <v>120960</v>
      </c>
      <c r="E685" s="10"/>
      <c r="F685" s="10"/>
      <c r="G685" s="10"/>
    </row>
    <row r="686" spans="1:7" ht="18.75" x14ac:dyDescent="0.3">
      <c r="A686" s="2" t="s">
        <v>46</v>
      </c>
      <c r="B686" s="12">
        <v>89</v>
      </c>
      <c r="C686" s="5">
        <v>2016</v>
      </c>
      <c r="D686" s="50">
        <f t="shared" si="16"/>
        <v>179424</v>
      </c>
      <c r="E686" s="10"/>
      <c r="F686" s="10"/>
      <c r="G686" s="10"/>
    </row>
    <row r="687" spans="1:7" ht="18.75" x14ac:dyDescent="0.3">
      <c r="A687" s="2" t="s">
        <v>75</v>
      </c>
      <c r="B687" s="12">
        <v>66</v>
      </c>
      <c r="C687" s="5">
        <v>2016</v>
      </c>
      <c r="D687" s="50">
        <f t="shared" si="16"/>
        <v>133056</v>
      </c>
      <c r="E687" s="10"/>
      <c r="F687" s="10"/>
      <c r="G687" s="14">
        <f>E682-D697-D698-D699-D700-D701-D702-D703-D704-D705-D706-D707-D708-D709-D710-D711-D712-D713-D714-D715-D716-D717-D718-D719-D719</f>
        <v>0</v>
      </c>
    </row>
    <row r="688" spans="1:7" ht="18.75" x14ac:dyDescent="0.3">
      <c r="A688" s="2" t="s">
        <v>805</v>
      </c>
      <c r="B688" s="12">
        <v>64</v>
      </c>
      <c r="C688" s="5">
        <v>2016</v>
      </c>
      <c r="D688" s="50">
        <f t="shared" si="16"/>
        <v>129024</v>
      </c>
      <c r="E688" s="10"/>
      <c r="F688" s="10"/>
      <c r="G688" s="10"/>
    </row>
    <row r="689" spans="1:6" ht="18.75" x14ac:dyDescent="0.3">
      <c r="A689" s="2" t="s">
        <v>53</v>
      </c>
      <c r="B689" s="12">
        <v>43</v>
      </c>
      <c r="C689" s="5">
        <v>2016</v>
      </c>
      <c r="D689" s="50">
        <f t="shared" si="16"/>
        <v>86688</v>
      </c>
      <c r="E689" s="10"/>
      <c r="F689" s="10"/>
    </row>
    <row r="690" spans="1:6" ht="18.75" x14ac:dyDescent="0.3">
      <c r="A690" s="2" t="s">
        <v>41</v>
      </c>
      <c r="B690" s="12">
        <v>84</v>
      </c>
      <c r="C690" s="3">
        <v>2016</v>
      </c>
      <c r="D690" s="50">
        <f t="shared" si="16"/>
        <v>169344</v>
      </c>
      <c r="E690" s="10"/>
      <c r="F690" s="10"/>
    </row>
    <row r="691" spans="1:6" ht="18.75" x14ac:dyDescent="0.3">
      <c r="A691" s="2" t="s">
        <v>824</v>
      </c>
      <c r="B691" s="12">
        <v>50</v>
      </c>
      <c r="C691" s="3">
        <v>2016</v>
      </c>
      <c r="D691" s="50">
        <f t="shared" si="16"/>
        <v>100800</v>
      </c>
      <c r="E691" s="10"/>
      <c r="F691" s="16"/>
    </row>
    <row r="692" spans="1:6" ht="18.75" x14ac:dyDescent="0.3">
      <c r="A692" s="2"/>
      <c r="B692" s="15"/>
      <c r="C692" s="3"/>
      <c r="D692" s="50"/>
      <c r="E692" s="10"/>
      <c r="F692" s="17"/>
    </row>
    <row r="693" spans="1:6" ht="18.75" x14ac:dyDescent="0.3">
      <c r="A693" s="2"/>
      <c r="B693" s="12"/>
      <c r="C693" s="3"/>
      <c r="D693" s="50"/>
      <c r="E693" s="10"/>
      <c r="F693" s="10"/>
    </row>
    <row r="694" spans="1:6" ht="18.75" x14ac:dyDescent="0.3">
      <c r="A694" s="2"/>
      <c r="B694" s="12"/>
      <c r="C694" s="3"/>
      <c r="D694" s="50"/>
      <c r="E694" s="10"/>
      <c r="F694" s="10"/>
    </row>
    <row r="695" spans="1:6" ht="18.75" x14ac:dyDescent="0.3">
      <c r="A695" s="18"/>
      <c r="B695" s="19"/>
      <c r="C695" s="20"/>
      <c r="D695" s="13"/>
      <c r="E695" s="10"/>
      <c r="F695" s="10"/>
    </row>
    <row r="696" spans="1:6" ht="18.75" x14ac:dyDescent="0.3">
      <c r="A696" s="1" t="s">
        <v>10</v>
      </c>
      <c r="B696" s="1" t="s">
        <v>11</v>
      </c>
      <c r="C696" s="1" t="s">
        <v>12</v>
      </c>
      <c r="D696" s="1" t="s">
        <v>13</v>
      </c>
      <c r="E696" s="1" t="s">
        <v>14</v>
      </c>
      <c r="F696" s="10"/>
    </row>
    <row r="697" spans="1:6" ht="18.75" x14ac:dyDescent="0.3">
      <c r="A697" s="3" t="s">
        <v>27</v>
      </c>
      <c r="B697" s="4" t="s">
        <v>811</v>
      </c>
      <c r="C697" s="3">
        <v>1344</v>
      </c>
      <c r="D697" s="3">
        <v>77952</v>
      </c>
      <c r="E697" s="3"/>
      <c r="F697" s="10"/>
    </row>
    <row r="698" spans="1:6" ht="18.75" x14ac:dyDescent="0.3">
      <c r="A698" s="3" t="s">
        <v>27</v>
      </c>
      <c r="B698" s="4" t="s">
        <v>806</v>
      </c>
      <c r="C698" s="3">
        <v>672</v>
      </c>
      <c r="D698" s="3">
        <v>59808</v>
      </c>
      <c r="E698" s="5"/>
      <c r="F698" s="10"/>
    </row>
    <row r="699" spans="1:6" ht="18.75" x14ac:dyDescent="0.3">
      <c r="A699" s="3" t="s">
        <v>27</v>
      </c>
      <c r="B699" s="4" t="s">
        <v>53</v>
      </c>
      <c r="C699" s="3">
        <v>2016</v>
      </c>
      <c r="D699" s="3">
        <v>86688</v>
      </c>
      <c r="E699" s="5"/>
      <c r="F699" s="10"/>
    </row>
    <row r="700" spans="1:6" ht="18.75" x14ac:dyDescent="0.3">
      <c r="A700" s="3" t="s">
        <v>15</v>
      </c>
      <c r="B700" s="4" t="s">
        <v>807</v>
      </c>
      <c r="C700" s="3">
        <v>672</v>
      </c>
      <c r="D700" s="3">
        <v>38976</v>
      </c>
      <c r="E700" s="3"/>
      <c r="F700" s="10"/>
    </row>
    <row r="701" spans="1:6" ht="18.75" x14ac:dyDescent="0.3">
      <c r="A701" s="3" t="s">
        <v>201</v>
      </c>
      <c r="B701" s="4" t="s">
        <v>808</v>
      </c>
      <c r="C701" s="3">
        <v>1344</v>
      </c>
      <c r="D701" s="3">
        <v>115584</v>
      </c>
      <c r="E701" s="5"/>
      <c r="F701" s="10"/>
    </row>
    <row r="702" spans="1:6" ht="18.75" x14ac:dyDescent="0.3">
      <c r="A702" s="3" t="s">
        <v>771</v>
      </c>
      <c r="B702" s="4" t="s">
        <v>809</v>
      </c>
      <c r="C702" s="3">
        <v>672</v>
      </c>
      <c r="D702" s="3">
        <v>57792</v>
      </c>
      <c r="E702" s="5"/>
      <c r="F702" s="10"/>
    </row>
    <row r="703" spans="1:6" ht="18.75" x14ac:dyDescent="0.3">
      <c r="A703" s="3" t="s">
        <v>771</v>
      </c>
      <c r="B703" s="4" t="s">
        <v>810</v>
      </c>
      <c r="C703" s="3">
        <v>2016</v>
      </c>
      <c r="D703" s="3">
        <v>133056</v>
      </c>
      <c r="E703" s="5"/>
      <c r="F703" s="10"/>
    </row>
    <row r="704" spans="1:6" ht="18.75" x14ac:dyDescent="0.3">
      <c r="A704" s="3" t="s">
        <v>332</v>
      </c>
      <c r="B704" s="4" t="s">
        <v>805</v>
      </c>
      <c r="C704" s="3">
        <v>2016</v>
      </c>
      <c r="D704" s="3">
        <v>129024</v>
      </c>
      <c r="E704" s="3"/>
      <c r="F704" s="10"/>
    </row>
    <row r="705" spans="1:6" ht="18.75" x14ac:dyDescent="0.3">
      <c r="A705" s="3" t="s">
        <v>778</v>
      </c>
      <c r="B705" s="4" t="s">
        <v>779</v>
      </c>
      <c r="C705" s="3">
        <v>2016</v>
      </c>
      <c r="D705" s="58">
        <v>120960</v>
      </c>
      <c r="E705" s="3"/>
      <c r="F705" s="10"/>
    </row>
    <row r="706" spans="1:6" ht="18.75" x14ac:dyDescent="0.3">
      <c r="A706" s="3" t="s">
        <v>16</v>
      </c>
      <c r="B706" s="4" t="s">
        <v>785</v>
      </c>
      <c r="C706" s="3">
        <v>672</v>
      </c>
      <c r="D706" s="58">
        <v>59808</v>
      </c>
      <c r="E706" s="3"/>
      <c r="F706" s="10"/>
    </row>
    <row r="707" spans="1:6" ht="18.75" x14ac:dyDescent="0.3">
      <c r="A707" s="3" t="s">
        <v>783</v>
      </c>
      <c r="B707" s="4" t="s">
        <v>784</v>
      </c>
      <c r="C707" s="3">
        <v>672</v>
      </c>
      <c r="D707" s="58">
        <v>59808</v>
      </c>
      <c r="E707" s="3"/>
      <c r="F707" s="10"/>
    </row>
    <row r="708" spans="1:6" ht="18.75" x14ac:dyDescent="0.3">
      <c r="A708" s="3" t="s">
        <v>31</v>
      </c>
      <c r="B708" s="4" t="s">
        <v>26</v>
      </c>
      <c r="C708" s="3">
        <v>2016</v>
      </c>
      <c r="D708" s="58">
        <v>169344</v>
      </c>
      <c r="E708" s="3"/>
      <c r="F708" s="10"/>
    </row>
    <row r="709" spans="1:6" ht="18.75" x14ac:dyDescent="0.3">
      <c r="A709" s="3" t="s">
        <v>119</v>
      </c>
      <c r="B709" s="4" t="s">
        <v>824</v>
      </c>
      <c r="C709" s="3">
        <v>2016</v>
      </c>
      <c r="D709" s="5">
        <v>100800</v>
      </c>
      <c r="E709" s="3"/>
      <c r="F709" s="10"/>
    </row>
    <row r="710" spans="1:6" ht="18.75" x14ac:dyDescent="0.3">
      <c r="A710" s="3"/>
      <c r="B710" s="4"/>
      <c r="C710" s="3"/>
      <c r="D710" s="5"/>
      <c r="E710" s="3"/>
      <c r="F710" s="10"/>
    </row>
    <row r="711" spans="1:6" ht="18.75" x14ac:dyDescent="0.3">
      <c r="A711" s="3"/>
      <c r="B711" s="4"/>
      <c r="C711" s="3"/>
      <c r="D711" s="5"/>
      <c r="E711" s="3"/>
      <c r="F711" s="10"/>
    </row>
    <row r="712" spans="1:6" ht="18.75" x14ac:dyDescent="0.3">
      <c r="A712" s="3"/>
      <c r="B712" s="4"/>
      <c r="C712" s="5"/>
      <c r="D712" s="5"/>
      <c r="E712" s="3"/>
      <c r="F712" s="10"/>
    </row>
    <row r="713" spans="1:6" ht="18.75" x14ac:dyDescent="0.3">
      <c r="A713" s="3"/>
      <c r="B713" s="4"/>
      <c r="C713" s="5"/>
      <c r="D713" s="5"/>
      <c r="E713" s="3"/>
    </row>
    <row r="714" spans="1:6" ht="18.75" x14ac:dyDescent="0.3">
      <c r="A714" s="3"/>
      <c r="B714" s="4"/>
      <c r="C714" s="5"/>
      <c r="D714" s="5"/>
      <c r="E714" s="3"/>
    </row>
    <row r="715" spans="1:6" ht="18.75" x14ac:dyDescent="0.3">
      <c r="A715" s="3"/>
      <c r="B715" s="4"/>
      <c r="C715" s="5"/>
      <c r="D715" s="5"/>
      <c r="E715" s="3"/>
    </row>
    <row r="716" spans="1:6" ht="18.75" x14ac:dyDescent="0.3">
      <c r="A716" s="3"/>
      <c r="B716" s="4"/>
      <c r="C716" s="5"/>
      <c r="D716" s="5"/>
      <c r="E716" s="3"/>
    </row>
    <row r="717" spans="1:6" ht="18.75" x14ac:dyDescent="0.3">
      <c r="A717" s="3"/>
      <c r="B717" s="4"/>
      <c r="C717" s="5"/>
      <c r="D717" s="5"/>
      <c r="E717" s="3"/>
    </row>
    <row r="718" spans="1:6" ht="18.75" x14ac:dyDescent="0.3">
      <c r="A718" s="3"/>
      <c r="B718" s="4"/>
      <c r="C718" s="5"/>
      <c r="D718" s="5"/>
      <c r="E718" s="37"/>
    </row>
    <row r="719" spans="1:6" ht="18.75" x14ac:dyDescent="0.3">
      <c r="A719" s="3"/>
      <c r="B719" s="4"/>
      <c r="C719" s="5"/>
      <c r="D719" s="5"/>
      <c r="E719" s="37"/>
    </row>
    <row r="725" spans="1:7" x14ac:dyDescent="0.25">
      <c r="A725" s="134" t="s">
        <v>765</v>
      </c>
      <c r="B725" s="134"/>
      <c r="C725" s="134"/>
    </row>
    <row r="726" spans="1:7" x14ac:dyDescent="0.25">
      <c r="A726" s="134"/>
      <c r="B726" s="134"/>
      <c r="C726" s="134"/>
    </row>
    <row r="728" spans="1:7" ht="18.75" x14ac:dyDescent="0.3">
      <c r="A728" s="35" t="s">
        <v>0</v>
      </c>
      <c r="B728" s="35" t="s">
        <v>1</v>
      </c>
      <c r="C728" s="35" t="s">
        <v>2</v>
      </c>
      <c r="D728" s="35" t="s">
        <v>3</v>
      </c>
      <c r="E728" s="35" t="s">
        <v>4</v>
      </c>
      <c r="F728" s="35" t="s">
        <v>5</v>
      </c>
      <c r="G728" s="35" t="s">
        <v>6</v>
      </c>
    </row>
    <row r="729" spans="1:7" ht="18.75" x14ac:dyDescent="0.3">
      <c r="A729" s="22">
        <v>28</v>
      </c>
      <c r="B729" s="22" t="s">
        <v>814</v>
      </c>
      <c r="C729" s="23" t="s">
        <v>815</v>
      </c>
      <c r="D729" s="24">
        <v>2016</v>
      </c>
      <c r="E729" s="22">
        <v>1100</v>
      </c>
      <c r="F729" s="25"/>
      <c r="G729" s="26">
        <f>D729*E729</f>
        <v>2217600</v>
      </c>
    </row>
    <row r="730" spans="1:7" ht="18.75" x14ac:dyDescent="0.3">
      <c r="A730" s="1" t="s">
        <v>7</v>
      </c>
      <c r="B730" s="7">
        <v>6.6</v>
      </c>
      <c r="C730" s="48" t="s">
        <v>3</v>
      </c>
      <c r="D730" s="48" t="s">
        <v>8</v>
      </c>
      <c r="E730" s="46">
        <v>1330560</v>
      </c>
      <c r="F730" s="10"/>
      <c r="G730" s="11">
        <v>887040</v>
      </c>
    </row>
    <row r="731" spans="1:7" ht="18.75" x14ac:dyDescent="0.3">
      <c r="A731" s="2" t="s">
        <v>9</v>
      </c>
      <c r="B731" s="12">
        <v>58</v>
      </c>
      <c r="C731" s="5">
        <v>2016</v>
      </c>
      <c r="D731" s="50">
        <f>B731*C731</f>
        <v>116928</v>
      </c>
      <c r="E731" s="21">
        <v>0.6</v>
      </c>
      <c r="F731" s="10"/>
      <c r="G731" s="21">
        <v>0.4</v>
      </c>
    </row>
    <row r="732" spans="1:7" ht="18.75" x14ac:dyDescent="0.3">
      <c r="A732" s="2" t="s">
        <v>766</v>
      </c>
      <c r="B732" s="12">
        <v>86</v>
      </c>
      <c r="C732" s="5">
        <v>2016</v>
      </c>
      <c r="D732" s="50">
        <f t="shared" ref="D732:D739" si="17">B732*C732</f>
        <v>173376</v>
      </c>
      <c r="E732" s="10"/>
      <c r="F732" s="10"/>
      <c r="G732" s="10"/>
    </row>
    <row r="733" spans="1:7" ht="18.75" x14ac:dyDescent="0.3">
      <c r="A733" s="2" t="s">
        <v>284</v>
      </c>
      <c r="B733" s="12">
        <v>60</v>
      </c>
      <c r="C733" s="5">
        <v>2016</v>
      </c>
      <c r="D733" s="50">
        <f>B733*C733</f>
        <v>120960</v>
      </c>
      <c r="E733" s="10"/>
      <c r="F733" s="10"/>
      <c r="G733" s="10"/>
    </row>
    <row r="734" spans="1:7" ht="18.75" x14ac:dyDescent="0.3">
      <c r="A734" s="2" t="s">
        <v>46</v>
      </c>
      <c r="B734" s="12">
        <v>130</v>
      </c>
      <c r="C734" s="5">
        <v>2016</v>
      </c>
      <c r="D734" s="50">
        <f t="shared" si="17"/>
        <v>262080</v>
      </c>
      <c r="E734" s="10"/>
      <c r="F734" s="10"/>
      <c r="G734" s="10"/>
    </row>
    <row r="735" spans="1:7" ht="18.75" x14ac:dyDescent="0.3">
      <c r="A735" s="2" t="s">
        <v>75</v>
      </c>
      <c r="B735" s="12">
        <v>90</v>
      </c>
      <c r="C735" s="5">
        <v>2016</v>
      </c>
      <c r="D735" s="50">
        <f t="shared" si="17"/>
        <v>181440</v>
      </c>
      <c r="E735" s="10"/>
      <c r="F735" s="10"/>
      <c r="G735" s="14">
        <f>E730-D745-D746-D747-D748-D749-D750-D751-D752-D753-D754-D755-D756-D757-D758-D759-D760-D761-D762-D763-D764-D765-D766-D767-D767</f>
        <v>0</v>
      </c>
    </row>
    <row r="736" spans="1:7" ht="18.75" x14ac:dyDescent="0.3">
      <c r="A736" s="2" t="s">
        <v>816</v>
      </c>
      <c r="B736" s="12">
        <v>64</v>
      </c>
      <c r="C736" s="5">
        <v>2016</v>
      </c>
      <c r="D736" s="50">
        <f t="shared" si="17"/>
        <v>129024</v>
      </c>
      <c r="E736" s="10"/>
      <c r="F736" s="10"/>
      <c r="G736" s="10"/>
    </row>
    <row r="737" spans="1:6" ht="18.75" x14ac:dyDescent="0.3">
      <c r="A737" s="2" t="s">
        <v>53</v>
      </c>
      <c r="B737" s="12">
        <v>43</v>
      </c>
      <c r="C737" s="5">
        <v>2016</v>
      </c>
      <c r="D737" s="50">
        <f t="shared" si="17"/>
        <v>86688</v>
      </c>
      <c r="E737" s="10"/>
      <c r="F737" s="10"/>
    </row>
    <row r="738" spans="1:6" ht="18.75" x14ac:dyDescent="0.3">
      <c r="A738" s="2" t="s">
        <v>41</v>
      </c>
      <c r="B738" s="15">
        <v>104</v>
      </c>
      <c r="C738" s="3">
        <v>2016</v>
      </c>
      <c r="D738" s="50">
        <f t="shared" si="17"/>
        <v>209664</v>
      </c>
      <c r="E738" s="10"/>
      <c r="F738" s="10"/>
    </row>
    <row r="739" spans="1:6" ht="18.75" x14ac:dyDescent="0.3">
      <c r="A739" s="2" t="s">
        <v>163</v>
      </c>
      <c r="B739" s="15">
        <v>25</v>
      </c>
      <c r="C739" s="3">
        <v>2016</v>
      </c>
      <c r="D739" s="50">
        <f t="shared" si="17"/>
        <v>50400</v>
      </c>
      <c r="E739" s="10"/>
      <c r="F739" s="16"/>
    </row>
    <row r="740" spans="1:6" ht="18.75" x14ac:dyDescent="0.3">
      <c r="A740" s="2"/>
      <c r="B740" s="15"/>
      <c r="C740" s="3"/>
      <c r="D740" s="50"/>
      <c r="E740" s="10"/>
      <c r="F740" s="17"/>
    </row>
    <row r="741" spans="1:6" ht="18.75" x14ac:dyDescent="0.3">
      <c r="A741" s="2"/>
      <c r="B741" s="12"/>
      <c r="C741" s="3"/>
      <c r="D741" s="50"/>
      <c r="E741" s="10"/>
      <c r="F741" s="10"/>
    </row>
    <row r="742" spans="1:6" ht="18.75" x14ac:dyDescent="0.3">
      <c r="A742" s="2"/>
      <c r="B742" s="12"/>
      <c r="C742" s="3"/>
      <c r="D742" s="50"/>
      <c r="E742" s="10"/>
      <c r="F742" s="10"/>
    </row>
    <row r="743" spans="1:6" ht="18.75" x14ac:dyDescent="0.3">
      <c r="A743" s="18"/>
      <c r="B743" s="19"/>
      <c r="C743" s="20"/>
      <c r="D743" s="13"/>
      <c r="E743" s="10"/>
      <c r="F743" s="10"/>
    </row>
    <row r="744" spans="1:6" ht="18.75" x14ac:dyDescent="0.3">
      <c r="A744" s="1" t="s">
        <v>10</v>
      </c>
      <c r="B744" s="1" t="s">
        <v>11</v>
      </c>
      <c r="C744" s="1" t="s">
        <v>12</v>
      </c>
      <c r="D744" s="1" t="s">
        <v>13</v>
      </c>
      <c r="E744" s="1" t="s">
        <v>14</v>
      </c>
      <c r="F744" s="10"/>
    </row>
    <row r="745" spans="1:6" ht="18.75" x14ac:dyDescent="0.3">
      <c r="A745" s="3" t="s">
        <v>508</v>
      </c>
      <c r="B745" s="4" t="s">
        <v>822</v>
      </c>
      <c r="C745" s="3">
        <v>1008</v>
      </c>
      <c r="D745" s="3">
        <v>58464</v>
      </c>
      <c r="E745" s="3"/>
      <c r="F745" s="10"/>
    </row>
    <row r="746" spans="1:6" ht="18.75" x14ac:dyDescent="0.3">
      <c r="A746" s="3"/>
      <c r="B746" s="4"/>
      <c r="C746" s="3"/>
      <c r="D746" s="5"/>
      <c r="E746" s="5"/>
      <c r="F746" s="10"/>
    </row>
    <row r="747" spans="1:6" ht="18.75" x14ac:dyDescent="0.3">
      <c r="A747" s="3" t="s">
        <v>508</v>
      </c>
      <c r="B747" s="4" t="s">
        <v>828</v>
      </c>
      <c r="C747" s="3">
        <v>1008</v>
      </c>
      <c r="D747" s="3">
        <v>86688</v>
      </c>
      <c r="E747" s="5"/>
      <c r="F747" s="10"/>
    </row>
    <row r="748" spans="1:6" ht="18.75" x14ac:dyDescent="0.3">
      <c r="A748" s="3" t="s">
        <v>27</v>
      </c>
      <c r="B748" s="4" t="s">
        <v>807</v>
      </c>
      <c r="C748" s="3">
        <v>504</v>
      </c>
      <c r="D748" s="3">
        <v>29232</v>
      </c>
      <c r="E748" s="3"/>
      <c r="F748" s="10"/>
    </row>
    <row r="749" spans="1:6" ht="18.75" x14ac:dyDescent="0.3">
      <c r="A749" s="3" t="s">
        <v>27</v>
      </c>
      <c r="B749" s="4" t="s">
        <v>53</v>
      </c>
      <c r="C749" s="3">
        <v>2016</v>
      </c>
      <c r="D749" s="3">
        <v>86688</v>
      </c>
      <c r="E749" s="5"/>
      <c r="F749" s="10"/>
    </row>
    <row r="750" spans="1:6" ht="18.75" x14ac:dyDescent="0.3">
      <c r="A750" s="3" t="s">
        <v>201</v>
      </c>
      <c r="B750" s="4" t="s">
        <v>823</v>
      </c>
      <c r="C750" s="3">
        <v>1008</v>
      </c>
      <c r="D750" s="3">
        <v>86688</v>
      </c>
      <c r="E750" s="5"/>
      <c r="F750" s="10"/>
    </row>
    <row r="751" spans="1:6" ht="18.75" x14ac:dyDescent="0.3">
      <c r="A751" s="3" t="s">
        <v>119</v>
      </c>
      <c r="B751" s="4" t="s">
        <v>824</v>
      </c>
      <c r="C751" s="3">
        <v>2016</v>
      </c>
      <c r="D751" s="3">
        <v>50400</v>
      </c>
      <c r="E751" s="5"/>
      <c r="F751" s="10"/>
    </row>
    <row r="752" spans="1:6" ht="18.75" x14ac:dyDescent="0.3">
      <c r="A752" s="3" t="s">
        <v>778</v>
      </c>
      <c r="B752" s="4" t="s">
        <v>779</v>
      </c>
      <c r="C752" s="3">
        <v>2016</v>
      </c>
      <c r="D752" s="3">
        <v>120960</v>
      </c>
      <c r="E752" s="3"/>
      <c r="F752" s="10"/>
    </row>
    <row r="753" spans="1:6" ht="18.75" x14ac:dyDescent="0.3">
      <c r="A753" s="3" t="s">
        <v>771</v>
      </c>
      <c r="B753" s="4" t="s">
        <v>825</v>
      </c>
      <c r="C753" s="3">
        <v>2016</v>
      </c>
      <c r="D753" s="3">
        <v>129024</v>
      </c>
      <c r="E753" s="3"/>
      <c r="F753" s="10"/>
    </row>
    <row r="754" spans="1:6" ht="18.75" x14ac:dyDescent="0.3">
      <c r="A754" s="3" t="s">
        <v>771</v>
      </c>
      <c r="B754" s="4" t="s">
        <v>774</v>
      </c>
      <c r="C754" s="3">
        <v>2016</v>
      </c>
      <c r="D754" s="3">
        <v>181440</v>
      </c>
      <c r="E754" s="3"/>
      <c r="F754" s="10"/>
    </row>
    <row r="755" spans="1:6" ht="18.75" x14ac:dyDescent="0.3">
      <c r="A755" s="3" t="s">
        <v>826</v>
      </c>
      <c r="B755" s="4" t="s">
        <v>26</v>
      </c>
      <c r="C755" s="3">
        <v>2016</v>
      </c>
      <c r="D755" s="3">
        <v>209664</v>
      </c>
      <c r="E755" s="3"/>
      <c r="F755" s="10"/>
    </row>
    <row r="756" spans="1:6" ht="18.75" x14ac:dyDescent="0.3">
      <c r="A756" s="3" t="s">
        <v>42</v>
      </c>
      <c r="B756" s="4" t="s">
        <v>827</v>
      </c>
      <c r="C756" s="3">
        <v>504</v>
      </c>
      <c r="D756" s="3">
        <v>29232</v>
      </c>
      <c r="E756" s="3"/>
      <c r="F756" s="100"/>
    </row>
    <row r="757" spans="1:6" ht="18.75" x14ac:dyDescent="0.3">
      <c r="A757" s="3" t="s">
        <v>27</v>
      </c>
      <c r="B757" s="4" t="s">
        <v>830</v>
      </c>
      <c r="C757" s="3">
        <v>1008</v>
      </c>
      <c r="D757" s="5">
        <v>131040</v>
      </c>
      <c r="E757" s="3"/>
      <c r="F757" s="10"/>
    </row>
    <row r="758" spans="1:6" ht="18.75" x14ac:dyDescent="0.3">
      <c r="A758" s="3" t="s">
        <v>783</v>
      </c>
      <c r="B758" s="4" t="s">
        <v>829</v>
      </c>
      <c r="C758" s="3">
        <v>1008</v>
      </c>
      <c r="D758" s="5">
        <v>131040</v>
      </c>
      <c r="E758" s="3"/>
      <c r="F758" s="10"/>
    </row>
    <row r="759" spans="1:6" ht="18.75" x14ac:dyDescent="0.3">
      <c r="A759" s="3"/>
      <c r="B759" s="4"/>
      <c r="C759" s="3"/>
      <c r="D759" s="5"/>
      <c r="E759" s="3"/>
      <c r="F759" s="10"/>
    </row>
    <row r="760" spans="1:6" ht="18.75" x14ac:dyDescent="0.3">
      <c r="A760" s="3"/>
      <c r="B760" s="4"/>
      <c r="C760" s="5"/>
      <c r="D760" s="5"/>
      <c r="E760" s="3"/>
      <c r="F760" s="10"/>
    </row>
    <row r="761" spans="1:6" ht="18.75" x14ac:dyDescent="0.3">
      <c r="A761" s="3"/>
      <c r="B761" s="4"/>
      <c r="C761" s="5"/>
      <c r="D761" s="5"/>
      <c r="E761" s="3"/>
    </row>
    <row r="762" spans="1:6" ht="18.75" x14ac:dyDescent="0.3">
      <c r="A762" s="3"/>
      <c r="B762" s="4"/>
      <c r="C762" s="5"/>
      <c r="D762" s="5"/>
      <c r="E762" s="3"/>
    </row>
    <row r="763" spans="1:6" ht="18.75" x14ac:dyDescent="0.3">
      <c r="A763" s="3"/>
      <c r="B763" s="4"/>
      <c r="C763" s="5"/>
      <c r="D763" s="5"/>
      <c r="E763" s="3"/>
    </row>
    <row r="764" spans="1:6" ht="18.75" x14ac:dyDescent="0.3">
      <c r="A764" s="3"/>
      <c r="B764" s="4"/>
      <c r="C764" s="5"/>
      <c r="D764" s="5"/>
      <c r="E764" s="3"/>
    </row>
    <row r="765" spans="1:6" ht="18.75" x14ac:dyDescent="0.3">
      <c r="A765" s="3"/>
      <c r="B765" s="4"/>
      <c r="C765" s="5"/>
      <c r="D765" s="5"/>
      <c r="E765" s="3"/>
    </row>
    <row r="766" spans="1:6" ht="18.75" x14ac:dyDescent="0.3">
      <c r="A766" s="3"/>
      <c r="B766" s="4"/>
      <c r="C766" s="5"/>
      <c r="D766" s="5"/>
      <c r="E766" s="37"/>
    </row>
    <row r="767" spans="1:6" ht="18.75" x14ac:dyDescent="0.3">
      <c r="A767" s="3"/>
      <c r="B767" s="4"/>
      <c r="C767" s="5"/>
      <c r="D767" s="5"/>
      <c r="E767" s="37"/>
    </row>
    <row r="775" spans="1:7" x14ac:dyDescent="0.25">
      <c r="A775" s="134" t="s">
        <v>844</v>
      </c>
      <c r="B775" s="134"/>
      <c r="C775" s="134"/>
    </row>
    <row r="776" spans="1:7" x14ac:dyDescent="0.25">
      <c r="A776" s="134"/>
      <c r="B776" s="134"/>
      <c r="C776" s="134"/>
    </row>
    <row r="778" spans="1:7" ht="18.75" x14ac:dyDescent="0.3">
      <c r="A778" s="35" t="s">
        <v>0</v>
      </c>
      <c r="B778" s="35" t="s">
        <v>1</v>
      </c>
      <c r="C778" s="35" t="s">
        <v>2</v>
      </c>
      <c r="D778" s="35" t="s">
        <v>3</v>
      </c>
      <c r="E778" s="35" t="s">
        <v>4</v>
      </c>
      <c r="F778" s="35" t="s">
        <v>5</v>
      </c>
      <c r="G778" s="35" t="s">
        <v>6</v>
      </c>
    </row>
    <row r="779" spans="1:7" ht="18.75" x14ac:dyDescent="0.3">
      <c r="A779" s="22">
        <v>28</v>
      </c>
      <c r="B779" s="22" t="s">
        <v>814</v>
      </c>
      <c r="C779" s="23" t="s">
        <v>837</v>
      </c>
      <c r="D779" s="24">
        <v>828</v>
      </c>
      <c r="E779" s="22">
        <v>1500</v>
      </c>
      <c r="F779" s="25"/>
      <c r="G779" s="26">
        <f>D779*E779</f>
        <v>1242000</v>
      </c>
    </row>
    <row r="780" spans="1:7" ht="18.75" x14ac:dyDescent="0.3">
      <c r="A780" s="1" t="s">
        <v>7</v>
      </c>
      <c r="B780" s="7">
        <v>8</v>
      </c>
      <c r="C780" s="48" t="s">
        <v>3</v>
      </c>
      <c r="D780" s="48" t="s">
        <v>8</v>
      </c>
      <c r="E780" s="46">
        <v>645840</v>
      </c>
      <c r="F780" s="10"/>
      <c r="G780" s="11">
        <v>430560</v>
      </c>
    </row>
    <row r="781" spans="1:7" ht="18.75" x14ac:dyDescent="0.3">
      <c r="A781" s="2" t="s">
        <v>854</v>
      </c>
      <c r="B781" s="12">
        <v>50</v>
      </c>
      <c r="C781" s="5">
        <v>276</v>
      </c>
      <c r="D781" s="50">
        <f>B781*C781</f>
        <v>13800</v>
      </c>
      <c r="E781" s="21">
        <v>0.6</v>
      </c>
      <c r="F781" s="10"/>
      <c r="G781" s="21">
        <v>0.4</v>
      </c>
    </row>
    <row r="782" spans="1:7" ht="18.75" x14ac:dyDescent="0.3">
      <c r="A782" s="2" t="s">
        <v>855</v>
      </c>
      <c r="B782" s="12">
        <v>50</v>
      </c>
      <c r="C782" s="5">
        <v>276</v>
      </c>
      <c r="D782" s="50">
        <f t="shared" ref="D782:D795" si="18">B782*C782</f>
        <v>13800</v>
      </c>
      <c r="E782" s="10"/>
      <c r="F782" s="10"/>
      <c r="G782" s="10"/>
    </row>
    <row r="783" spans="1:7" ht="18.75" x14ac:dyDescent="0.3">
      <c r="A783" s="2" t="s">
        <v>845</v>
      </c>
      <c r="B783" s="12">
        <v>50</v>
      </c>
      <c r="C783" s="5">
        <v>276</v>
      </c>
      <c r="D783" s="50">
        <f t="shared" si="18"/>
        <v>13800</v>
      </c>
      <c r="E783" s="10"/>
      <c r="F783" s="10"/>
      <c r="G783" s="10"/>
    </row>
    <row r="784" spans="1:7" ht="18.75" x14ac:dyDescent="0.3">
      <c r="A784" s="2" t="s">
        <v>846</v>
      </c>
      <c r="B784" s="12">
        <v>80</v>
      </c>
      <c r="C784" s="5">
        <v>276</v>
      </c>
      <c r="D784" s="50">
        <f t="shared" si="18"/>
        <v>22080</v>
      </c>
      <c r="E784" s="10"/>
      <c r="F784" s="10"/>
      <c r="G784" s="10"/>
    </row>
    <row r="785" spans="1:7" ht="18.75" x14ac:dyDescent="0.3">
      <c r="A785" s="2" t="s">
        <v>847</v>
      </c>
      <c r="B785" s="12">
        <v>130</v>
      </c>
      <c r="C785" s="5">
        <v>276</v>
      </c>
      <c r="D785" s="50">
        <f t="shared" si="18"/>
        <v>35880</v>
      </c>
      <c r="E785" s="10"/>
      <c r="F785" s="10"/>
      <c r="G785" s="14">
        <f>E780-D797-D798-D799-D800-D801-D802-D803-D804-D805-D806-D807-D808-D809-D810-D811-D812-D813-D814-D815-D816-D817-D818-D819-D819</f>
        <v>645840</v>
      </c>
    </row>
    <row r="786" spans="1:7" ht="18.75" x14ac:dyDescent="0.3">
      <c r="A786" s="2" t="s">
        <v>24</v>
      </c>
      <c r="B786" s="12">
        <v>73</v>
      </c>
      <c r="C786" s="5">
        <v>276</v>
      </c>
      <c r="D786" s="50">
        <f t="shared" si="18"/>
        <v>20148</v>
      </c>
      <c r="E786" s="10"/>
      <c r="F786" s="10"/>
      <c r="G786" s="10"/>
    </row>
    <row r="787" spans="1:7" ht="18.75" x14ac:dyDescent="0.3">
      <c r="A787" s="2" t="s">
        <v>848</v>
      </c>
      <c r="B787" s="12">
        <v>64</v>
      </c>
      <c r="C787" s="5">
        <v>276</v>
      </c>
      <c r="D787" s="50">
        <f t="shared" si="18"/>
        <v>17664</v>
      </c>
      <c r="E787" s="10"/>
      <c r="F787" s="10"/>
    </row>
    <row r="788" spans="1:7" ht="18.75" x14ac:dyDescent="0.3">
      <c r="A788" s="2" t="s">
        <v>849</v>
      </c>
      <c r="B788" s="12">
        <v>50</v>
      </c>
      <c r="C788" s="5">
        <v>276</v>
      </c>
      <c r="D788" s="50">
        <f t="shared" si="18"/>
        <v>13800</v>
      </c>
      <c r="E788" s="10"/>
      <c r="F788" s="10"/>
    </row>
    <row r="789" spans="1:7" ht="18.75" x14ac:dyDescent="0.3">
      <c r="A789" s="2" t="s">
        <v>850</v>
      </c>
      <c r="B789" s="12">
        <v>80</v>
      </c>
      <c r="C789" s="5">
        <v>276</v>
      </c>
      <c r="D789" s="50">
        <f t="shared" si="18"/>
        <v>22080</v>
      </c>
      <c r="E789" s="10"/>
      <c r="F789" s="16"/>
    </row>
    <row r="790" spans="1:7" ht="18.75" x14ac:dyDescent="0.3">
      <c r="A790" s="2" t="s">
        <v>789</v>
      </c>
      <c r="B790" s="12">
        <v>70</v>
      </c>
      <c r="C790" s="5">
        <v>276</v>
      </c>
      <c r="D790" s="50">
        <f t="shared" si="18"/>
        <v>19320</v>
      </c>
      <c r="E790" s="10"/>
      <c r="F790" s="17"/>
    </row>
    <row r="791" spans="1:7" ht="18.75" x14ac:dyDescent="0.3">
      <c r="A791" s="2" t="s">
        <v>843</v>
      </c>
      <c r="B791" s="12">
        <v>100</v>
      </c>
      <c r="C791" s="5">
        <v>276</v>
      </c>
      <c r="D791" s="50">
        <f t="shared" si="18"/>
        <v>27600</v>
      </c>
      <c r="E791" s="10"/>
      <c r="F791" s="10"/>
    </row>
    <row r="792" spans="1:7" ht="18.75" x14ac:dyDescent="0.3">
      <c r="A792" s="2" t="s">
        <v>790</v>
      </c>
      <c r="B792" s="12">
        <v>43</v>
      </c>
      <c r="C792" s="5">
        <v>276</v>
      </c>
      <c r="D792" s="50">
        <f t="shared" si="18"/>
        <v>11868</v>
      </c>
      <c r="E792" s="10"/>
      <c r="F792" s="10"/>
    </row>
    <row r="793" spans="1:7" ht="18.75" x14ac:dyDescent="0.3">
      <c r="A793" s="2" t="s">
        <v>851</v>
      </c>
      <c r="B793" s="102">
        <v>25</v>
      </c>
      <c r="C793" s="5">
        <v>276</v>
      </c>
      <c r="D793" s="50">
        <f t="shared" si="18"/>
        <v>6900</v>
      </c>
      <c r="E793" s="10"/>
      <c r="F793" s="10"/>
    </row>
    <row r="794" spans="1:7" ht="18.75" x14ac:dyDescent="0.3">
      <c r="A794" s="2" t="s">
        <v>26</v>
      </c>
      <c r="B794" s="102">
        <v>36</v>
      </c>
      <c r="C794" s="5">
        <v>276</v>
      </c>
      <c r="D794" s="50">
        <f t="shared" si="18"/>
        <v>9936</v>
      </c>
      <c r="E794" s="10"/>
      <c r="F794" s="10"/>
    </row>
    <row r="795" spans="1:7" ht="18.75" x14ac:dyDescent="0.3">
      <c r="A795" s="18"/>
      <c r="B795" s="19"/>
      <c r="C795" s="5"/>
      <c r="D795" s="50">
        <f t="shared" si="18"/>
        <v>0</v>
      </c>
      <c r="E795" s="10"/>
      <c r="F795" s="10"/>
    </row>
    <row r="796" spans="1:7" ht="18.75" x14ac:dyDescent="0.3">
      <c r="A796" s="1" t="s">
        <v>10</v>
      </c>
      <c r="B796" s="1" t="s">
        <v>11</v>
      </c>
      <c r="C796" s="1" t="s">
        <v>12</v>
      </c>
      <c r="D796" s="1" t="s">
        <v>13</v>
      </c>
      <c r="E796" s="1" t="s">
        <v>14</v>
      </c>
      <c r="F796" s="10"/>
    </row>
    <row r="797" spans="1:7" ht="18.75" x14ac:dyDescent="0.3">
      <c r="A797" s="3"/>
      <c r="B797" s="101" t="s">
        <v>854</v>
      </c>
      <c r="C797" s="3"/>
      <c r="D797" s="3"/>
      <c r="E797" s="3"/>
      <c r="F797" s="10"/>
    </row>
    <row r="798" spans="1:7" ht="18.75" x14ac:dyDescent="0.3">
      <c r="A798" s="3"/>
      <c r="B798" s="101" t="s">
        <v>855</v>
      </c>
      <c r="C798" s="3"/>
      <c r="D798" s="3"/>
      <c r="E798" s="5"/>
      <c r="F798" s="10"/>
    </row>
    <row r="799" spans="1:7" ht="18.75" x14ac:dyDescent="0.3">
      <c r="A799" s="3" t="s">
        <v>16</v>
      </c>
      <c r="B799" s="101" t="s">
        <v>845</v>
      </c>
      <c r="C799" s="3"/>
      <c r="D799" s="3"/>
      <c r="E799" s="5"/>
      <c r="F799" s="10"/>
    </row>
    <row r="800" spans="1:7" ht="18.75" x14ac:dyDescent="0.3">
      <c r="A800" s="3" t="s">
        <v>16</v>
      </c>
      <c r="B800" s="101" t="s">
        <v>846</v>
      </c>
      <c r="C800" s="3"/>
      <c r="D800" s="3"/>
      <c r="E800" s="3"/>
      <c r="F800" s="10"/>
    </row>
    <row r="801" spans="1:6" ht="18.75" x14ac:dyDescent="0.3">
      <c r="A801" s="3"/>
      <c r="B801" s="101" t="s">
        <v>847</v>
      </c>
      <c r="C801" s="3"/>
      <c r="D801" s="3"/>
      <c r="E801" s="5"/>
      <c r="F801" s="10"/>
    </row>
    <row r="802" spans="1:6" ht="18.75" x14ac:dyDescent="0.3">
      <c r="A802" s="3"/>
      <c r="B802" s="101" t="s">
        <v>24</v>
      </c>
      <c r="C802" s="3"/>
      <c r="D802" s="3"/>
      <c r="E802" s="5"/>
      <c r="F802" s="10"/>
    </row>
    <row r="803" spans="1:6" ht="18.75" x14ac:dyDescent="0.3">
      <c r="A803" s="3"/>
      <c r="B803" s="101" t="s">
        <v>848</v>
      </c>
      <c r="C803" s="3"/>
      <c r="D803" s="3"/>
      <c r="E803" s="5"/>
      <c r="F803" s="10"/>
    </row>
    <row r="804" spans="1:6" ht="18.75" x14ac:dyDescent="0.3">
      <c r="A804" s="3"/>
      <c r="B804" s="101" t="s">
        <v>849</v>
      </c>
      <c r="C804" s="3"/>
      <c r="D804" s="3"/>
      <c r="E804" s="3"/>
      <c r="F804" s="10"/>
    </row>
    <row r="805" spans="1:6" ht="18.75" x14ac:dyDescent="0.3">
      <c r="A805" s="3"/>
      <c r="B805" s="101" t="s">
        <v>850</v>
      </c>
      <c r="C805" s="3"/>
      <c r="D805" s="3"/>
      <c r="E805" s="3"/>
      <c r="F805" s="10"/>
    </row>
    <row r="806" spans="1:6" ht="18.75" x14ac:dyDescent="0.3">
      <c r="A806" s="3"/>
      <c r="B806" s="101" t="s">
        <v>789</v>
      </c>
      <c r="C806" s="3"/>
      <c r="D806" s="3"/>
      <c r="E806" s="3"/>
      <c r="F806" s="10"/>
    </row>
    <row r="807" spans="1:6" ht="18.75" x14ac:dyDescent="0.3">
      <c r="A807" s="3"/>
      <c r="B807" s="101" t="s">
        <v>843</v>
      </c>
      <c r="C807" s="3"/>
      <c r="D807" s="3"/>
      <c r="E807" s="3"/>
      <c r="F807" s="10"/>
    </row>
    <row r="808" spans="1:6" ht="18.75" x14ac:dyDescent="0.3">
      <c r="A808" s="3"/>
      <c r="B808" s="101" t="s">
        <v>790</v>
      </c>
      <c r="C808" s="3"/>
      <c r="D808" s="3"/>
      <c r="E808" s="3"/>
      <c r="F808" s="100"/>
    </row>
    <row r="809" spans="1:6" ht="18.75" x14ac:dyDescent="0.3">
      <c r="A809" s="3"/>
      <c r="B809" s="101" t="s">
        <v>851</v>
      </c>
      <c r="C809" s="3"/>
      <c r="D809" s="3"/>
      <c r="E809" s="3"/>
      <c r="F809" s="10"/>
    </row>
    <row r="810" spans="1:6" ht="18.75" x14ac:dyDescent="0.3">
      <c r="A810" s="3"/>
      <c r="B810" s="101" t="s">
        <v>26</v>
      </c>
      <c r="C810" s="3"/>
      <c r="D810" s="3"/>
      <c r="E810" s="3"/>
      <c r="F810" s="10"/>
    </row>
    <row r="811" spans="1:6" ht="18.75" x14ac:dyDescent="0.3">
      <c r="A811" s="3"/>
      <c r="B811" s="4"/>
      <c r="C811" s="3"/>
      <c r="D811" s="5"/>
      <c r="E811" s="3"/>
      <c r="F811" s="10"/>
    </row>
    <row r="812" spans="1:6" ht="18.75" x14ac:dyDescent="0.3">
      <c r="A812" s="3"/>
      <c r="B812" s="4"/>
      <c r="C812" s="5"/>
      <c r="D812" s="5"/>
      <c r="E812" s="3"/>
      <c r="F812" s="10"/>
    </row>
    <row r="813" spans="1:6" ht="18.75" x14ac:dyDescent="0.3">
      <c r="A813" s="3"/>
      <c r="B813" s="4"/>
      <c r="C813" s="5"/>
      <c r="D813" s="5"/>
      <c r="E813" s="3"/>
    </row>
    <row r="814" spans="1:6" ht="18.75" x14ac:dyDescent="0.3">
      <c r="A814" s="3"/>
      <c r="B814" s="4"/>
      <c r="C814" s="5"/>
      <c r="D814" s="5"/>
      <c r="E814" s="3"/>
    </row>
    <row r="815" spans="1:6" ht="18.75" x14ac:dyDescent="0.3">
      <c r="A815" s="3"/>
      <c r="B815" s="4"/>
      <c r="C815" s="5"/>
      <c r="D815" s="5"/>
      <c r="E815" s="3"/>
    </row>
    <row r="816" spans="1:6" ht="18.75" x14ac:dyDescent="0.3">
      <c r="A816" s="3"/>
      <c r="B816" s="4"/>
      <c r="C816" s="5"/>
      <c r="D816" s="5"/>
      <c r="E816" s="3"/>
    </row>
    <row r="817" spans="1:7" ht="18.75" x14ac:dyDescent="0.3">
      <c r="A817" s="3"/>
      <c r="B817" s="4"/>
      <c r="C817" s="5"/>
      <c r="D817" s="5"/>
      <c r="E817" s="3"/>
    </row>
    <row r="818" spans="1:7" ht="18.75" x14ac:dyDescent="0.3">
      <c r="A818" s="3"/>
      <c r="B818" s="4"/>
      <c r="C818" s="5"/>
      <c r="D818" s="5"/>
      <c r="E818" s="37"/>
    </row>
    <row r="819" spans="1:7" ht="18.75" x14ac:dyDescent="0.3">
      <c r="A819" s="3"/>
      <c r="B819" s="4"/>
      <c r="C819" s="5"/>
      <c r="D819" s="5"/>
      <c r="E819" s="37"/>
    </row>
    <row r="823" spans="1:7" ht="18.75" x14ac:dyDescent="0.3">
      <c r="A823" s="35" t="s">
        <v>0</v>
      </c>
      <c r="B823" s="35" t="s">
        <v>1</v>
      </c>
      <c r="C823" s="35" t="s">
        <v>2</v>
      </c>
      <c r="D823" s="35" t="s">
        <v>3</v>
      </c>
      <c r="E823" s="35" t="s">
        <v>4</v>
      </c>
      <c r="F823" s="35" t="s">
        <v>5</v>
      </c>
      <c r="G823" s="35" t="s">
        <v>6</v>
      </c>
    </row>
    <row r="824" spans="1:7" ht="18.75" x14ac:dyDescent="0.3">
      <c r="A824" s="22"/>
      <c r="B824" s="22" t="s">
        <v>814</v>
      </c>
      <c r="C824" s="23" t="s">
        <v>891</v>
      </c>
      <c r="D824" s="24">
        <v>1512</v>
      </c>
      <c r="E824" s="22">
        <v>900</v>
      </c>
      <c r="F824" s="25" t="s">
        <v>870</v>
      </c>
      <c r="G824" s="26">
        <f>D824*E824</f>
        <v>1360800</v>
      </c>
    </row>
    <row r="825" spans="1:7" ht="18.75" x14ac:dyDescent="0.3">
      <c r="A825" s="1" t="s">
        <v>7</v>
      </c>
      <c r="B825" s="7">
        <v>5.4</v>
      </c>
      <c r="C825" s="48" t="s">
        <v>3</v>
      </c>
      <c r="D825" s="48" t="s">
        <v>8</v>
      </c>
      <c r="E825" s="46">
        <v>816480</v>
      </c>
      <c r="F825" s="10"/>
      <c r="G825" s="11">
        <v>544320</v>
      </c>
    </row>
    <row r="826" spans="1:7" ht="18.75" x14ac:dyDescent="0.3">
      <c r="A826" s="2" t="s">
        <v>72</v>
      </c>
      <c r="B826" s="12">
        <v>89</v>
      </c>
      <c r="C826" s="12">
        <v>1512</v>
      </c>
      <c r="D826" s="50">
        <f>B826*C826</f>
        <v>134568</v>
      </c>
      <c r="E826" s="21">
        <v>0.6</v>
      </c>
      <c r="F826" s="10"/>
      <c r="G826" s="21">
        <v>0.4</v>
      </c>
    </row>
    <row r="827" spans="1:7" ht="18.75" x14ac:dyDescent="0.3">
      <c r="A827" s="2" t="s">
        <v>78</v>
      </c>
      <c r="B827" s="12">
        <v>86</v>
      </c>
      <c r="C827" s="12">
        <v>1512</v>
      </c>
      <c r="D827" s="50">
        <f t="shared" ref="D827" si="19">B827*C827</f>
        <v>130032</v>
      </c>
      <c r="E827" s="10"/>
      <c r="F827" s="10"/>
      <c r="G827" s="10"/>
    </row>
    <row r="828" spans="1:7" ht="18.75" x14ac:dyDescent="0.3">
      <c r="A828" s="2" t="s">
        <v>49</v>
      </c>
      <c r="B828" s="12">
        <v>58</v>
      </c>
      <c r="C828" s="12">
        <v>1512</v>
      </c>
      <c r="D828" s="50">
        <f>B828*C828</f>
        <v>87696</v>
      </c>
      <c r="E828" s="10"/>
      <c r="F828" s="10"/>
      <c r="G828" s="10"/>
    </row>
    <row r="829" spans="1:7" ht="18.75" x14ac:dyDescent="0.3">
      <c r="A829" s="2" t="s">
        <v>767</v>
      </c>
      <c r="B829" s="12">
        <v>64</v>
      </c>
      <c r="C829" s="12">
        <v>1512</v>
      </c>
      <c r="D829" s="50">
        <f t="shared" ref="D829:D834" si="20">B829*C829</f>
        <v>96768</v>
      </c>
      <c r="E829" s="10"/>
      <c r="F829" s="10"/>
      <c r="G829" s="10"/>
    </row>
    <row r="830" spans="1:7" ht="18.75" x14ac:dyDescent="0.3">
      <c r="A830" s="2" t="s">
        <v>774</v>
      </c>
      <c r="B830" s="12">
        <v>66</v>
      </c>
      <c r="C830" s="12">
        <v>1512</v>
      </c>
      <c r="D830" s="50">
        <f t="shared" si="20"/>
        <v>99792</v>
      </c>
      <c r="E830" s="10"/>
      <c r="F830" s="10"/>
      <c r="G830" s="14">
        <f>E825-D840-D841-D842-D843-D844-D845-D846-D847-D848-D849-D850-D851-D852-D853-D854-D855-D856-D857-D858-D859-D860-D861-D862-D862</f>
        <v>0</v>
      </c>
    </row>
    <row r="831" spans="1:7" ht="18.75" x14ac:dyDescent="0.3">
      <c r="A831" s="2" t="s">
        <v>156</v>
      </c>
      <c r="B831" s="12">
        <v>60</v>
      </c>
      <c r="C831" s="12">
        <v>1512</v>
      </c>
      <c r="D831" s="50">
        <f t="shared" si="20"/>
        <v>90720</v>
      </c>
      <c r="E831" s="10"/>
      <c r="F831" s="10"/>
      <c r="G831" s="10"/>
    </row>
    <row r="832" spans="1:7" ht="18.75" x14ac:dyDescent="0.3">
      <c r="A832" s="2" t="s">
        <v>53</v>
      </c>
      <c r="B832" s="12">
        <v>43</v>
      </c>
      <c r="C832" s="12">
        <v>1512</v>
      </c>
      <c r="D832" s="50">
        <f t="shared" si="20"/>
        <v>65016</v>
      </c>
      <c r="E832" s="10"/>
      <c r="F832" s="10"/>
    </row>
    <row r="833" spans="1:6" ht="18.75" x14ac:dyDescent="0.3">
      <c r="A833" s="2" t="s">
        <v>26</v>
      </c>
      <c r="B833" s="12">
        <v>39</v>
      </c>
      <c r="C833" s="12">
        <v>1512</v>
      </c>
      <c r="D833" s="50">
        <f t="shared" si="20"/>
        <v>58968</v>
      </c>
      <c r="E833" s="10"/>
      <c r="F833" s="10"/>
    </row>
    <row r="834" spans="1:6" ht="18.75" x14ac:dyDescent="0.3">
      <c r="A834" s="2" t="s">
        <v>163</v>
      </c>
      <c r="B834" s="12">
        <v>35</v>
      </c>
      <c r="C834" s="12">
        <v>1512</v>
      </c>
      <c r="D834" s="50">
        <f t="shared" si="20"/>
        <v>52920</v>
      </c>
      <c r="E834" s="10"/>
      <c r="F834" s="16"/>
    </row>
    <row r="835" spans="1:6" ht="18.75" x14ac:dyDescent="0.3">
      <c r="A835" s="2"/>
      <c r="B835" s="12"/>
      <c r="C835" s="12"/>
      <c r="D835" s="50"/>
      <c r="E835" s="10"/>
      <c r="F835" s="17"/>
    </row>
    <row r="836" spans="1:6" ht="18.75" x14ac:dyDescent="0.3">
      <c r="A836" s="2"/>
      <c r="B836" s="12"/>
      <c r="C836" s="3"/>
      <c r="D836" s="50"/>
      <c r="E836" s="10"/>
      <c r="F836" s="10"/>
    </row>
    <row r="837" spans="1:6" ht="18.75" x14ac:dyDescent="0.3">
      <c r="A837" s="2"/>
      <c r="B837" s="12"/>
      <c r="C837" s="3"/>
      <c r="D837" s="50"/>
      <c r="E837" s="10"/>
      <c r="F837" s="10"/>
    </row>
    <row r="838" spans="1:6" ht="18.75" x14ac:dyDescent="0.3">
      <c r="A838" s="18"/>
      <c r="B838" s="19"/>
      <c r="C838" s="20"/>
      <c r="D838" s="13"/>
      <c r="E838" s="10"/>
      <c r="F838" s="10"/>
    </row>
    <row r="839" spans="1:6" ht="18.75" x14ac:dyDescent="0.3">
      <c r="A839" s="1" t="s">
        <v>10</v>
      </c>
      <c r="B839" s="1" t="s">
        <v>11</v>
      </c>
      <c r="C839" s="1" t="s">
        <v>12</v>
      </c>
      <c r="D839" s="1" t="s">
        <v>13</v>
      </c>
      <c r="E839" s="1" t="s">
        <v>14</v>
      </c>
      <c r="F839" s="10"/>
    </row>
    <row r="840" spans="1:6" ht="18.75" x14ac:dyDescent="0.3">
      <c r="A840" s="3" t="s">
        <v>508</v>
      </c>
      <c r="B840" s="4" t="s">
        <v>807</v>
      </c>
      <c r="C840" s="3">
        <v>504</v>
      </c>
      <c r="D840" s="3">
        <v>29232</v>
      </c>
      <c r="E840" s="3"/>
      <c r="F840" s="10"/>
    </row>
    <row r="841" spans="1:6" ht="18.75" x14ac:dyDescent="0.3">
      <c r="A841" s="3" t="s">
        <v>508</v>
      </c>
      <c r="B841" s="4" t="s">
        <v>892</v>
      </c>
      <c r="C841" s="3">
        <v>252</v>
      </c>
      <c r="D841" s="3">
        <v>21672</v>
      </c>
      <c r="E841" s="5"/>
      <c r="F841" s="10"/>
    </row>
    <row r="842" spans="1:6" ht="18.75" x14ac:dyDescent="0.3">
      <c r="A842" s="3" t="s">
        <v>201</v>
      </c>
      <c r="B842" s="4" t="s">
        <v>893</v>
      </c>
      <c r="C842" s="3">
        <v>504</v>
      </c>
      <c r="D842" s="3">
        <v>43344</v>
      </c>
      <c r="E842" s="5"/>
      <c r="F842" s="10"/>
    </row>
    <row r="843" spans="1:6" ht="18.75" x14ac:dyDescent="0.3">
      <c r="A843" s="3" t="s">
        <v>201</v>
      </c>
      <c r="B843" s="4" t="s">
        <v>894</v>
      </c>
      <c r="C843" s="3">
        <v>252</v>
      </c>
      <c r="D843" s="3">
        <v>21672</v>
      </c>
      <c r="E843" s="3"/>
      <c r="F843" s="10"/>
    </row>
    <row r="844" spans="1:6" ht="18.75" x14ac:dyDescent="0.3">
      <c r="A844" s="3" t="s">
        <v>201</v>
      </c>
      <c r="B844" s="4" t="s">
        <v>785</v>
      </c>
      <c r="C844" s="3">
        <v>504</v>
      </c>
      <c r="D844" s="3">
        <v>44856</v>
      </c>
      <c r="E844" s="5"/>
      <c r="F844" s="10"/>
    </row>
    <row r="845" spans="1:6" ht="18.75" x14ac:dyDescent="0.3">
      <c r="A845" s="3" t="s">
        <v>27</v>
      </c>
      <c r="B845" s="4" t="s">
        <v>101</v>
      </c>
      <c r="C845" s="3">
        <v>1512</v>
      </c>
      <c r="D845" s="3">
        <v>65016</v>
      </c>
      <c r="E845" s="5"/>
      <c r="F845" s="10"/>
    </row>
    <row r="846" spans="1:6" ht="18.75" x14ac:dyDescent="0.3">
      <c r="A846" s="3" t="s">
        <v>27</v>
      </c>
      <c r="B846" s="4" t="s">
        <v>800</v>
      </c>
      <c r="C846" s="3">
        <v>504</v>
      </c>
      <c r="D846" s="3">
        <v>44856</v>
      </c>
      <c r="E846" s="5"/>
      <c r="F846" s="10"/>
    </row>
    <row r="847" spans="1:6" ht="18.75" x14ac:dyDescent="0.3">
      <c r="A847" s="3" t="s">
        <v>29</v>
      </c>
      <c r="B847" s="4" t="s">
        <v>895</v>
      </c>
      <c r="C847" s="3">
        <v>504</v>
      </c>
      <c r="D847" s="3">
        <v>44856</v>
      </c>
      <c r="E847" s="3"/>
      <c r="F847" s="10"/>
    </row>
    <row r="848" spans="1:6" ht="18.75" x14ac:dyDescent="0.3">
      <c r="A848" s="3" t="s">
        <v>266</v>
      </c>
      <c r="B848" s="4" t="s">
        <v>896</v>
      </c>
      <c r="C848" s="3">
        <v>504</v>
      </c>
      <c r="D848" s="3">
        <v>30240</v>
      </c>
      <c r="E848" s="3"/>
      <c r="F848" s="10"/>
    </row>
    <row r="849" spans="1:6" ht="18.75" x14ac:dyDescent="0.3">
      <c r="A849" s="3" t="s">
        <v>771</v>
      </c>
      <c r="B849" s="4" t="s">
        <v>767</v>
      </c>
      <c r="C849" s="3">
        <v>1512</v>
      </c>
      <c r="D849" s="3">
        <v>96768</v>
      </c>
      <c r="E849" s="3"/>
      <c r="F849" s="10"/>
    </row>
    <row r="850" spans="1:6" ht="18.75" x14ac:dyDescent="0.3">
      <c r="A850" s="3" t="s">
        <v>771</v>
      </c>
      <c r="B850" s="4" t="s">
        <v>897</v>
      </c>
      <c r="C850" s="3">
        <v>1512</v>
      </c>
      <c r="D850" s="3">
        <v>99792</v>
      </c>
      <c r="E850" s="3"/>
      <c r="F850" s="10"/>
    </row>
    <row r="851" spans="1:6" ht="18.75" x14ac:dyDescent="0.3">
      <c r="A851" s="3" t="s">
        <v>119</v>
      </c>
      <c r="B851" s="4" t="s">
        <v>824</v>
      </c>
      <c r="C851" s="3">
        <v>1512</v>
      </c>
      <c r="D851" s="3">
        <v>52920</v>
      </c>
      <c r="E851" s="3"/>
      <c r="F851" s="100"/>
    </row>
    <row r="852" spans="1:6" ht="18.75" x14ac:dyDescent="0.3">
      <c r="A852" s="3" t="s">
        <v>778</v>
      </c>
      <c r="B852" s="4" t="s">
        <v>898</v>
      </c>
      <c r="C852" s="3">
        <v>1008</v>
      </c>
      <c r="D852" s="3">
        <v>60480</v>
      </c>
      <c r="E852" s="3"/>
      <c r="F852" s="10"/>
    </row>
    <row r="853" spans="1:6" ht="18.75" x14ac:dyDescent="0.3">
      <c r="A853" s="3" t="s">
        <v>266</v>
      </c>
      <c r="B853" s="4" t="s">
        <v>899</v>
      </c>
      <c r="C853" s="3">
        <v>504</v>
      </c>
      <c r="D853" s="3">
        <v>29232</v>
      </c>
      <c r="E853" s="3"/>
      <c r="F853" s="10"/>
    </row>
    <row r="854" spans="1:6" ht="18.75" x14ac:dyDescent="0.3">
      <c r="A854" s="3" t="s">
        <v>201</v>
      </c>
      <c r="B854" s="4" t="s">
        <v>900</v>
      </c>
      <c r="C854" s="3">
        <v>504</v>
      </c>
      <c r="D854" s="5">
        <v>29232</v>
      </c>
      <c r="E854" s="3"/>
      <c r="F854" s="10"/>
    </row>
    <row r="855" spans="1:6" ht="18.75" x14ac:dyDescent="0.3">
      <c r="A855" s="3" t="s">
        <v>31</v>
      </c>
      <c r="B855" s="4" t="s">
        <v>26</v>
      </c>
      <c r="C855" s="5">
        <v>1512</v>
      </c>
      <c r="D855" s="5">
        <v>58968</v>
      </c>
      <c r="E855" s="3"/>
      <c r="F855" s="10"/>
    </row>
    <row r="856" spans="1:6" ht="18.75" x14ac:dyDescent="0.3">
      <c r="A856" s="3" t="s">
        <v>901</v>
      </c>
      <c r="B856" s="4" t="s">
        <v>902</v>
      </c>
      <c r="C856" s="5">
        <v>504</v>
      </c>
      <c r="D856" s="5">
        <v>43344</v>
      </c>
      <c r="E856" s="3"/>
    </row>
    <row r="857" spans="1:6" ht="18.75" x14ac:dyDescent="0.3">
      <c r="A857" s="3"/>
      <c r="B857" s="4"/>
      <c r="C857" s="5"/>
      <c r="D857" s="5"/>
      <c r="E857" s="3"/>
    </row>
    <row r="858" spans="1:6" ht="18.75" x14ac:dyDescent="0.3">
      <c r="A858" s="3"/>
      <c r="B858" s="4"/>
      <c r="C858" s="5"/>
      <c r="D858" s="5"/>
      <c r="E858" s="3"/>
    </row>
    <row r="859" spans="1:6" ht="18.75" x14ac:dyDescent="0.3">
      <c r="A859" s="3"/>
      <c r="B859" s="4"/>
      <c r="C859" s="5"/>
      <c r="D859" s="5"/>
      <c r="E859" s="3"/>
    </row>
    <row r="860" spans="1:6" ht="18.75" x14ac:dyDescent="0.3">
      <c r="A860" s="3"/>
      <c r="B860" s="4"/>
      <c r="C860" s="5"/>
      <c r="D860" s="5"/>
      <c r="E860" s="3"/>
    </row>
    <row r="861" spans="1:6" ht="18.75" x14ac:dyDescent="0.3">
      <c r="A861" s="3"/>
      <c r="B861" s="4"/>
      <c r="C861" s="5"/>
      <c r="D861" s="5"/>
      <c r="E861" s="37"/>
    </row>
    <row r="862" spans="1:6" ht="18.75" x14ac:dyDescent="0.3">
      <c r="A862" s="3"/>
      <c r="B862" s="4"/>
      <c r="C862" s="5"/>
      <c r="D862" s="5"/>
      <c r="E862" s="37"/>
    </row>
    <row r="867" spans="1:7" ht="18.75" x14ac:dyDescent="0.3">
      <c r="A867" s="35" t="s">
        <v>0</v>
      </c>
      <c r="B867" s="35" t="s">
        <v>1</v>
      </c>
      <c r="C867" s="35" t="s">
        <v>2</v>
      </c>
      <c r="D867" s="35" t="s">
        <v>3</v>
      </c>
      <c r="E867" s="35" t="s">
        <v>4</v>
      </c>
      <c r="F867" s="35" t="s">
        <v>5</v>
      </c>
      <c r="G867" s="35" t="s">
        <v>6</v>
      </c>
    </row>
    <row r="868" spans="1:7" ht="18.75" x14ac:dyDescent="0.3">
      <c r="A868" s="22"/>
      <c r="B868" s="22" t="s">
        <v>814</v>
      </c>
      <c r="C868" s="23"/>
      <c r="D868" s="24"/>
      <c r="E868" s="22"/>
      <c r="F868" s="25"/>
      <c r="G868" s="26">
        <f>D868*E868</f>
        <v>0</v>
      </c>
    </row>
    <row r="869" spans="1:7" ht="18.75" x14ac:dyDescent="0.3">
      <c r="A869" s="1" t="s">
        <v>7</v>
      </c>
      <c r="B869" s="7">
        <v>6.6</v>
      </c>
      <c r="C869" s="48" t="s">
        <v>3</v>
      </c>
      <c r="D869" s="48" t="s">
        <v>8</v>
      </c>
      <c r="E869" s="46"/>
      <c r="F869" s="10"/>
      <c r="G869" s="11"/>
    </row>
    <row r="870" spans="1:7" ht="18.75" x14ac:dyDescent="0.3">
      <c r="A870" s="2"/>
      <c r="B870" s="12"/>
      <c r="C870" s="12"/>
      <c r="D870" s="50">
        <f>B870*C870</f>
        <v>0</v>
      </c>
      <c r="E870" s="21">
        <v>0.6</v>
      </c>
      <c r="F870" s="10"/>
      <c r="G870" s="21">
        <v>0.4</v>
      </c>
    </row>
    <row r="871" spans="1:7" ht="18.75" x14ac:dyDescent="0.3">
      <c r="A871" s="2"/>
      <c r="B871" s="12"/>
      <c r="C871" s="12"/>
      <c r="D871" s="50">
        <f t="shared" ref="D871" si="21">B871*C871</f>
        <v>0</v>
      </c>
      <c r="E871" s="10"/>
      <c r="F871" s="10"/>
      <c r="G871" s="10"/>
    </row>
    <row r="872" spans="1:7" ht="18.75" x14ac:dyDescent="0.3">
      <c r="A872" s="2"/>
      <c r="B872" s="12"/>
      <c r="C872" s="12"/>
      <c r="D872" s="50">
        <f>B872*C872</f>
        <v>0</v>
      </c>
      <c r="E872" s="10"/>
      <c r="F872" s="10"/>
      <c r="G872" s="10"/>
    </row>
    <row r="873" spans="1:7" ht="18.75" x14ac:dyDescent="0.3">
      <c r="A873" s="2"/>
      <c r="B873" s="12"/>
      <c r="C873" s="12"/>
      <c r="D873" s="50">
        <f t="shared" ref="D873:D878" si="22">B873*C873</f>
        <v>0</v>
      </c>
      <c r="E873" s="10"/>
      <c r="F873" s="10"/>
      <c r="G873" s="10"/>
    </row>
    <row r="874" spans="1:7" ht="18.75" x14ac:dyDescent="0.3">
      <c r="A874" s="2"/>
      <c r="B874" s="12"/>
      <c r="C874" s="12"/>
      <c r="D874" s="50">
        <f t="shared" si="22"/>
        <v>0</v>
      </c>
      <c r="E874" s="10"/>
      <c r="F874" s="10"/>
      <c r="G874" s="14">
        <f>E869-D884-D885-D886-D887-D888-D889-D890-D891-D892-D893-D894-D895-D896-D897-D898-D899-D900-D901-D902-D903-D904-D905-D906-D906</f>
        <v>0</v>
      </c>
    </row>
    <row r="875" spans="1:7" ht="18.75" x14ac:dyDescent="0.3">
      <c r="A875" s="2"/>
      <c r="B875" s="12"/>
      <c r="C875" s="12"/>
      <c r="D875" s="50">
        <f t="shared" si="22"/>
        <v>0</v>
      </c>
      <c r="E875" s="10"/>
      <c r="F875" s="10"/>
      <c r="G875" s="10"/>
    </row>
    <row r="876" spans="1:7" ht="18.75" x14ac:dyDescent="0.3">
      <c r="A876" s="2"/>
      <c r="B876" s="12"/>
      <c r="C876" s="12"/>
      <c r="D876" s="50">
        <f t="shared" si="22"/>
        <v>0</v>
      </c>
      <c r="E876" s="10"/>
      <c r="F876" s="10"/>
    </row>
    <row r="877" spans="1:7" ht="18.75" x14ac:dyDescent="0.3">
      <c r="A877" s="2"/>
      <c r="B877" s="12"/>
      <c r="C877" s="12"/>
      <c r="D877" s="50">
        <f t="shared" si="22"/>
        <v>0</v>
      </c>
      <c r="E877" s="10"/>
      <c r="F877" s="10"/>
    </row>
    <row r="878" spans="1:7" ht="18.75" x14ac:dyDescent="0.3">
      <c r="A878" s="2"/>
      <c r="B878" s="12"/>
      <c r="C878" s="12"/>
      <c r="D878" s="50">
        <f t="shared" si="22"/>
        <v>0</v>
      </c>
      <c r="E878" s="10"/>
      <c r="F878" s="16"/>
    </row>
    <row r="879" spans="1:7" ht="18.75" x14ac:dyDescent="0.3">
      <c r="A879" s="2"/>
      <c r="B879" s="12"/>
      <c r="C879" s="12"/>
      <c r="D879" s="50"/>
      <c r="E879" s="10"/>
      <c r="F879" s="17"/>
    </row>
    <row r="880" spans="1:7" ht="18.75" x14ac:dyDescent="0.3">
      <c r="A880" s="2"/>
      <c r="B880" s="12"/>
      <c r="C880" s="3"/>
      <c r="D880" s="50"/>
      <c r="E880" s="10"/>
      <c r="F880" s="10"/>
    </row>
    <row r="881" spans="1:6" ht="18.75" x14ac:dyDescent="0.3">
      <c r="A881" s="2"/>
      <c r="B881" s="12"/>
      <c r="C881" s="3"/>
      <c r="D881" s="50"/>
      <c r="E881" s="10"/>
      <c r="F881" s="10"/>
    </row>
    <row r="882" spans="1:6" ht="18.75" x14ac:dyDescent="0.3">
      <c r="A882" s="18"/>
      <c r="B882" s="19"/>
      <c r="C882" s="20"/>
      <c r="D882" s="13"/>
      <c r="E882" s="10"/>
      <c r="F882" s="10"/>
    </row>
    <row r="883" spans="1:6" ht="18.75" x14ac:dyDescent="0.3">
      <c r="A883" s="1" t="s">
        <v>10</v>
      </c>
      <c r="B883" s="1" t="s">
        <v>11</v>
      </c>
      <c r="C883" s="1" t="s">
        <v>12</v>
      </c>
      <c r="D883" s="1" t="s">
        <v>13</v>
      </c>
      <c r="E883" s="1" t="s">
        <v>14</v>
      </c>
      <c r="F883" s="10"/>
    </row>
    <row r="884" spans="1:6" ht="18.75" x14ac:dyDescent="0.3">
      <c r="A884" s="3"/>
      <c r="B884" s="4"/>
      <c r="C884" s="3"/>
      <c r="D884" s="3"/>
      <c r="E884" s="3"/>
      <c r="F884" s="10"/>
    </row>
    <row r="885" spans="1:6" ht="18.75" x14ac:dyDescent="0.3">
      <c r="A885" s="3"/>
      <c r="B885" s="4"/>
      <c r="C885" s="3"/>
      <c r="D885" s="3"/>
      <c r="E885" s="5"/>
      <c r="F885" s="10"/>
    </row>
    <row r="886" spans="1:6" ht="18.75" x14ac:dyDescent="0.3">
      <c r="A886" s="3"/>
      <c r="B886" s="4"/>
      <c r="C886" s="3"/>
      <c r="D886" s="3"/>
      <c r="E886" s="5"/>
      <c r="F886" s="10"/>
    </row>
    <row r="887" spans="1:6" ht="18.75" x14ac:dyDescent="0.3">
      <c r="A887" s="3"/>
      <c r="B887" s="4"/>
      <c r="C887" s="3"/>
      <c r="D887" s="3"/>
      <c r="E887" s="3"/>
      <c r="F887" s="10"/>
    </row>
    <row r="888" spans="1:6" ht="18.75" x14ac:dyDescent="0.3">
      <c r="A888" s="3"/>
      <c r="B888" s="4"/>
      <c r="C888" s="3"/>
      <c r="D888" s="3"/>
      <c r="E888" s="5"/>
      <c r="F888" s="10"/>
    </row>
    <row r="889" spans="1:6" ht="18.75" x14ac:dyDescent="0.3">
      <c r="A889" s="3"/>
      <c r="B889" s="4"/>
      <c r="C889" s="3"/>
      <c r="D889" s="3"/>
      <c r="E889" s="5"/>
      <c r="F889" s="10"/>
    </row>
    <row r="890" spans="1:6" ht="18.75" x14ac:dyDescent="0.3">
      <c r="A890" s="3"/>
      <c r="B890" s="4"/>
      <c r="C890" s="3"/>
      <c r="D890" s="3"/>
      <c r="E890" s="5"/>
      <c r="F890" s="10"/>
    </row>
    <row r="891" spans="1:6" ht="18.75" x14ac:dyDescent="0.3">
      <c r="A891" s="3"/>
      <c r="B891" s="4"/>
      <c r="C891" s="3"/>
      <c r="D891" s="3"/>
      <c r="E891" s="3"/>
      <c r="F891" s="10"/>
    </row>
    <row r="892" spans="1:6" ht="18.75" x14ac:dyDescent="0.3">
      <c r="A892" s="3"/>
      <c r="B892" s="4"/>
      <c r="C892" s="3"/>
      <c r="D892" s="3"/>
      <c r="E892" s="3"/>
      <c r="F892" s="10"/>
    </row>
    <row r="893" spans="1:6" ht="18.75" x14ac:dyDescent="0.3">
      <c r="A893" s="3"/>
      <c r="B893" s="4"/>
      <c r="C893" s="3"/>
      <c r="D893" s="3"/>
      <c r="E893" s="3"/>
      <c r="F893" s="10"/>
    </row>
    <row r="894" spans="1:6" ht="18.75" x14ac:dyDescent="0.3">
      <c r="A894" s="3"/>
      <c r="B894" s="4"/>
      <c r="C894" s="3"/>
      <c r="D894" s="3"/>
      <c r="E894" s="3"/>
      <c r="F894" s="10"/>
    </row>
    <row r="895" spans="1:6" ht="18.75" x14ac:dyDescent="0.3">
      <c r="A895" s="3"/>
      <c r="B895" s="4"/>
      <c r="C895" s="3"/>
      <c r="D895" s="3"/>
      <c r="E895" s="3"/>
      <c r="F895" s="100"/>
    </row>
    <row r="896" spans="1:6" ht="18.75" x14ac:dyDescent="0.3">
      <c r="A896" s="3"/>
      <c r="B896" s="4"/>
      <c r="C896" s="3"/>
      <c r="D896" s="3"/>
      <c r="E896" s="3"/>
      <c r="F896" s="10"/>
    </row>
    <row r="897" spans="1:7" ht="18.75" x14ac:dyDescent="0.3">
      <c r="A897" s="3"/>
      <c r="B897" s="4"/>
      <c r="C897" s="3"/>
      <c r="D897" s="3"/>
      <c r="E897" s="3"/>
      <c r="F897" s="10"/>
    </row>
    <row r="898" spans="1:7" ht="18.75" x14ac:dyDescent="0.3">
      <c r="A898" s="3"/>
      <c r="B898" s="4"/>
      <c r="C898" s="3"/>
      <c r="D898" s="5"/>
      <c r="E898" s="3"/>
      <c r="F898" s="10"/>
    </row>
    <row r="899" spans="1:7" ht="18.75" x14ac:dyDescent="0.3">
      <c r="A899" s="3"/>
      <c r="B899" s="4"/>
      <c r="C899" s="5"/>
      <c r="D899" s="5"/>
      <c r="E899" s="3"/>
      <c r="F899" s="10"/>
    </row>
    <row r="900" spans="1:7" ht="18.75" x14ac:dyDescent="0.3">
      <c r="A900" s="3"/>
      <c r="B900" s="4"/>
      <c r="C900" s="5"/>
      <c r="D900" s="5"/>
      <c r="E900" s="3"/>
    </row>
    <row r="901" spans="1:7" ht="18.75" x14ac:dyDescent="0.3">
      <c r="A901" s="3"/>
      <c r="B901" s="4"/>
      <c r="C901" s="5"/>
      <c r="D901" s="5"/>
      <c r="E901" s="3"/>
    </row>
    <row r="902" spans="1:7" ht="18.75" x14ac:dyDescent="0.3">
      <c r="A902" s="3"/>
      <c r="B902" s="4"/>
      <c r="C902" s="5"/>
      <c r="D902" s="5"/>
      <c r="E902" s="3"/>
    </row>
    <row r="903" spans="1:7" ht="18.75" x14ac:dyDescent="0.3">
      <c r="A903" s="3"/>
      <c r="B903" s="4"/>
      <c r="C903" s="5"/>
      <c r="D903" s="5"/>
      <c r="E903" s="3"/>
    </row>
    <row r="904" spans="1:7" ht="18.75" x14ac:dyDescent="0.3">
      <c r="A904" s="3"/>
      <c r="B904" s="4"/>
      <c r="C904" s="5"/>
      <c r="D904" s="5"/>
      <c r="E904" s="3"/>
    </row>
    <row r="905" spans="1:7" ht="18.75" x14ac:dyDescent="0.3">
      <c r="A905" s="3"/>
      <c r="B905" s="4"/>
      <c r="C905" s="5"/>
      <c r="D905" s="5"/>
      <c r="E905" s="37"/>
    </row>
    <row r="906" spans="1:7" ht="18.75" x14ac:dyDescent="0.3">
      <c r="A906" s="3"/>
      <c r="B906" s="4"/>
      <c r="C906" s="5"/>
      <c r="D906" s="5"/>
      <c r="E906" s="37"/>
    </row>
    <row r="911" spans="1:7" ht="18.75" x14ac:dyDescent="0.3">
      <c r="A911" s="35" t="s">
        <v>0</v>
      </c>
      <c r="B911" s="35" t="s">
        <v>1</v>
      </c>
      <c r="C911" s="35" t="s">
        <v>2</v>
      </c>
      <c r="D911" s="35" t="s">
        <v>3</v>
      </c>
      <c r="E911" s="35" t="s">
        <v>4</v>
      </c>
      <c r="F911" s="35" t="s">
        <v>5</v>
      </c>
      <c r="G911" s="35" t="s">
        <v>6</v>
      </c>
    </row>
    <row r="912" spans="1:7" ht="18.75" x14ac:dyDescent="0.3">
      <c r="A912" s="22"/>
      <c r="B912" s="22" t="s">
        <v>814</v>
      </c>
      <c r="C912" s="23"/>
      <c r="D912" s="24"/>
      <c r="E912" s="22"/>
      <c r="F912" s="25"/>
      <c r="G912" s="26">
        <f>D912*E912</f>
        <v>0</v>
      </c>
    </row>
    <row r="913" spans="1:7" ht="18.75" x14ac:dyDescent="0.3">
      <c r="A913" s="1" t="s">
        <v>7</v>
      </c>
      <c r="B913" s="7">
        <v>6.6</v>
      </c>
      <c r="C913" s="48" t="s">
        <v>3</v>
      </c>
      <c r="D913" s="48" t="s">
        <v>8</v>
      </c>
      <c r="E913" s="46"/>
      <c r="F913" s="10"/>
      <c r="G913" s="11"/>
    </row>
    <row r="914" spans="1:7" ht="18.75" x14ac:dyDescent="0.3">
      <c r="A914" s="2"/>
      <c r="B914" s="12"/>
      <c r="C914" s="12"/>
      <c r="D914" s="50">
        <f>B914*C914</f>
        <v>0</v>
      </c>
      <c r="E914" s="21">
        <v>0.6</v>
      </c>
      <c r="F914" s="10"/>
      <c r="G914" s="21">
        <v>0.4</v>
      </c>
    </row>
    <row r="915" spans="1:7" ht="18.75" x14ac:dyDescent="0.3">
      <c r="A915" s="2"/>
      <c r="B915" s="12"/>
      <c r="C915" s="12"/>
      <c r="D915" s="50">
        <f t="shared" ref="D915" si="23">B915*C915</f>
        <v>0</v>
      </c>
      <c r="E915" s="10"/>
      <c r="F915" s="10"/>
      <c r="G915" s="10"/>
    </row>
    <row r="916" spans="1:7" ht="18.75" x14ac:dyDescent="0.3">
      <c r="A916" s="2"/>
      <c r="B916" s="12"/>
      <c r="C916" s="12"/>
      <c r="D916" s="50">
        <f>B916*C916</f>
        <v>0</v>
      </c>
      <c r="E916" s="10"/>
      <c r="F916" s="10"/>
      <c r="G916" s="10"/>
    </row>
    <row r="917" spans="1:7" ht="18.75" x14ac:dyDescent="0.3">
      <c r="A917" s="2"/>
      <c r="B917" s="12"/>
      <c r="C917" s="12"/>
      <c r="D917" s="50">
        <f t="shared" ref="D917:D922" si="24">B917*C917</f>
        <v>0</v>
      </c>
      <c r="E917" s="10"/>
      <c r="F917" s="10"/>
      <c r="G917" s="10"/>
    </row>
    <row r="918" spans="1:7" ht="18.75" x14ac:dyDescent="0.3">
      <c r="A918" s="2"/>
      <c r="B918" s="12"/>
      <c r="C918" s="12"/>
      <c r="D918" s="50">
        <f t="shared" si="24"/>
        <v>0</v>
      </c>
      <c r="E918" s="10"/>
      <c r="F918" s="10"/>
      <c r="G918" s="14">
        <f>E913-D928-D929-D930-D931-D932-D933-D934-D935-D936-D937-D938-D939-D940-D941-D942-D943-D944-D945-D946-D947-D948-D949-D950-D950</f>
        <v>0</v>
      </c>
    </row>
    <row r="919" spans="1:7" ht="18.75" x14ac:dyDescent="0.3">
      <c r="A919" s="2"/>
      <c r="B919" s="12"/>
      <c r="C919" s="12"/>
      <c r="D919" s="50">
        <f t="shared" si="24"/>
        <v>0</v>
      </c>
      <c r="E919" s="10"/>
      <c r="F919" s="10"/>
      <c r="G919" s="10"/>
    </row>
    <row r="920" spans="1:7" ht="18.75" x14ac:dyDescent="0.3">
      <c r="A920" s="2"/>
      <c r="B920" s="12"/>
      <c r="C920" s="12"/>
      <c r="D920" s="50">
        <f t="shared" si="24"/>
        <v>0</v>
      </c>
      <c r="E920" s="10"/>
      <c r="F920" s="10"/>
    </row>
    <row r="921" spans="1:7" ht="18.75" x14ac:dyDescent="0.3">
      <c r="A921" s="2"/>
      <c r="B921" s="12"/>
      <c r="C921" s="12"/>
      <c r="D921" s="50">
        <f t="shared" si="24"/>
        <v>0</v>
      </c>
      <c r="E921" s="10"/>
      <c r="F921" s="10"/>
    </row>
    <row r="922" spans="1:7" ht="18.75" x14ac:dyDescent="0.3">
      <c r="A922" s="2"/>
      <c r="B922" s="12"/>
      <c r="C922" s="12"/>
      <c r="D922" s="50">
        <f t="shared" si="24"/>
        <v>0</v>
      </c>
      <c r="E922" s="10"/>
      <c r="F922" s="16"/>
    </row>
    <row r="923" spans="1:7" ht="18.75" x14ac:dyDescent="0.3">
      <c r="A923" s="2"/>
      <c r="B923" s="12"/>
      <c r="C923" s="12"/>
      <c r="D923" s="50"/>
      <c r="E923" s="10"/>
      <c r="F923" s="17"/>
    </row>
    <row r="924" spans="1:7" ht="18.75" x14ac:dyDescent="0.3">
      <c r="A924" s="2"/>
      <c r="B924" s="12"/>
      <c r="C924" s="3"/>
      <c r="D924" s="50"/>
      <c r="E924" s="10"/>
      <c r="F924" s="10"/>
    </row>
    <row r="925" spans="1:7" ht="18.75" x14ac:dyDescent="0.3">
      <c r="A925" s="2"/>
      <c r="B925" s="12"/>
      <c r="C925" s="3"/>
      <c r="D925" s="50"/>
      <c r="E925" s="10"/>
      <c r="F925" s="10"/>
    </row>
    <row r="926" spans="1:7" ht="18.75" x14ac:dyDescent="0.3">
      <c r="A926" s="18"/>
      <c r="B926" s="19"/>
      <c r="C926" s="20"/>
      <c r="D926" s="13"/>
      <c r="E926" s="10"/>
      <c r="F926" s="10"/>
    </row>
    <row r="927" spans="1:7" ht="18.75" x14ac:dyDescent="0.3">
      <c r="A927" s="1" t="s">
        <v>10</v>
      </c>
      <c r="B927" s="1" t="s">
        <v>11</v>
      </c>
      <c r="C927" s="1" t="s">
        <v>12</v>
      </c>
      <c r="D927" s="1" t="s">
        <v>13</v>
      </c>
      <c r="E927" s="1" t="s">
        <v>14</v>
      </c>
      <c r="F927" s="10"/>
    </row>
    <row r="928" spans="1:7" ht="18.75" x14ac:dyDescent="0.3">
      <c r="A928" s="3"/>
      <c r="B928" s="4"/>
      <c r="C928" s="3"/>
      <c r="D928" s="3"/>
      <c r="E928" s="3"/>
      <c r="F928" s="10"/>
    </row>
    <row r="929" spans="1:6" ht="18.75" x14ac:dyDescent="0.3">
      <c r="A929" s="3"/>
      <c r="B929" s="4"/>
      <c r="C929" s="3"/>
      <c r="D929" s="3"/>
      <c r="E929" s="5"/>
      <c r="F929" s="10"/>
    </row>
    <row r="930" spans="1:6" ht="18.75" x14ac:dyDescent="0.3">
      <c r="A930" s="3"/>
      <c r="B930" s="4"/>
      <c r="C930" s="3"/>
      <c r="D930" s="3"/>
      <c r="E930" s="5"/>
      <c r="F930" s="10"/>
    </row>
    <row r="931" spans="1:6" ht="18.75" x14ac:dyDescent="0.3">
      <c r="A931" s="3"/>
      <c r="B931" s="4"/>
      <c r="C931" s="3"/>
      <c r="D931" s="3"/>
      <c r="E931" s="3"/>
      <c r="F931" s="10"/>
    </row>
    <row r="932" spans="1:6" ht="18.75" x14ac:dyDescent="0.3">
      <c r="A932" s="3"/>
      <c r="B932" s="4"/>
      <c r="C932" s="3"/>
      <c r="D932" s="3"/>
      <c r="E932" s="5"/>
      <c r="F932" s="10"/>
    </row>
    <row r="933" spans="1:6" ht="18.75" x14ac:dyDescent="0.3">
      <c r="A933" s="3"/>
      <c r="B933" s="4"/>
      <c r="C933" s="3"/>
      <c r="D933" s="3"/>
      <c r="E933" s="5"/>
      <c r="F933" s="10"/>
    </row>
    <row r="934" spans="1:6" ht="18.75" x14ac:dyDescent="0.3">
      <c r="A934" s="3"/>
      <c r="B934" s="4"/>
      <c r="C934" s="3"/>
      <c r="D934" s="3"/>
      <c r="E934" s="5"/>
      <c r="F934" s="10"/>
    </row>
    <row r="935" spans="1:6" ht="18.75" x14ac:dyDescent="0.3">
      <c r="A935" s="3"/>
      <c r="B935" s="4"/>
      <c r="C935" s="3"/>
      <c r="D935" s="3"/>
      <c r="E935" s="3"/>
      <c r="F935" s="10"/>
    </row>
    <row r="936" spans="1:6" ht="18.75" x14ac:dyDescent="0.3">
      <c r="A936" s="3"/>
      <c r="B936" s="4"/>
      <c r="C936" s="3"/>
      <c r="D936" s="3"/>
      <c r="E936" s="3"/>
      <c r="F936" s="10"/>
    </row>
    <row r="937" spans="1:6" ht="18.75" x14ac:dyDescent="0.3">
      <c r="A937" s="3"/>
      <c r="B937" s="4"/>
      <c r="C937" s="3"/>
      <c r="D937" s="3"/>
      <c r="E937" s="3"/>
      <c r="F937" s="10"/>
    </row>
    <row r="938" spans="1:6" ht="18.75" x14ac:dyDescent="0.3">
      <c r="A938" s="3"/>
      <c r="B938" s="4"/>
      <c r="C938" s="3"/>
      <c r="D938" s="3"/>
      <c r="E938" s="3"/>
      <c r="F938" s="10"/>
    </row>
    <row r="939" spans="1:6" ht="18.75" x14ac:dyDescent="0.3">
      <c r="A939" s="3"/>
      <c r="B939" s="4"/>
      <c r="C939" s="3"/>
      <c r="D939" s="3"/>
      <c r="E939" s="3"/>
      <c r="F939" s="100"/>
    </row>
    <row r="940" spans="1:6" ht="18.75" x14ac:dyDescent="0.3">
      <c r="A940" s="3"/>
      <c r="B940" s="4"/>
      <c r="C940" s="3"/>
      <c r="D940" s="3"/>
      <c r="E940" s="3"/>
      <c r="F940" s="10"/>
    </row>
    <row r="941" spans="1:6" ht="18.75" x14ac:dyDescent="0.3">
      <c r="A941" s="3"/>
      <c r="B941" s="4"/>
      <c r="C941" s="3"/>
      <c r="D941" s="3"/>
      <c r="E941" s="3"/>
      <c r="F941" s="10"/>
    </row>
    <row r="942" spans="1:6" ht="18.75" x14ac:dyDescent="0.3">
      <c r="A942" s="3"/>
      <c r="B942" s="4"/>
      <c r="C942" s="3"/>
      <c r="D942" s="5"/>
      <c r="E942" s="3"/>
      <c r="F942" s="10"/>
    </row>
    <row r="943" spans="1:6" ht="18.75" x14ac:dyDescent="0.3">
      <c r="A943" s="3"/>
      <c r="B943" s="4"/>
      <c r="C943" s="5"/>
      <c r="D943" s="5"/>
      <c r="E943" s="3"/>
      <c r="F943" s="10"/>
    </row>
    <row r="944" spans="1:6" ht="18.75" x14ac:dyDescent="0.3">
      <c r="A944" s="3"/>
      <c r="B944" s="4"/>
      <c r="C944" s="5"/>
      <c r="D944" s="5"/>
      <c r="E944" s="3"/>
    </row>
    <row r="945" spans="1:7" ht="18.75" x14ac:dyDescent="0.3">
      <c r="A945" s="3"/>
      <c r="B945" s="4"/>
      <c r="C945" s="5"/>
      <c r="D945" s="5"/>
      <c r="E945" s="3"/>
    </row>
    <row r="946" spans="1:7" ht="18.75" x14ac:dyDescent="0.3">
      <c r="A946" s="3"/>
      <c r="B946" s="4"/>
      <c r="C946" s="5"/>
      <c r="D946" s="5"/>
      <c r="E946" s="3"/>
    </row>
    <row r="947" spans="1:7" ht="18.75" x14ac:dyDescent="0.3">
      <c r="A947" s="3"/>
      <c r="B947" s="4"/>
      <c r="C947" s="5"/>
      <c r="D947" s="5"/>
      <c r="E947" s="3"/>
    </row>
    <row r="948" spans="1:7" ht="18.75" x14ac:dyDescent="0.3">
      <c r="A948" s="3"/>
      <c r="B948" s="4"/>
      <c r="C948" s="5"/>
      <c r="D948" s="5"/>
      <c r="E948" s="3"/>
    </row>
    <row r="949" spans="1:7" ht="18.75" x14ac:dyDescent="0.3">
      <c r="A949" s="3"/>
      <c r="B949" s="4"/>
      <c r="C949" s="5"/>
      <c r="D949" s="5"/>
      <c r="E949" s="37"/>
    </row>
    <row r="950" spans="1:7" ht="18.75" x14ac:dyDescent="0.3">
      <c r="A950" s="3"/>
      <c r="B950" s="4"/>
      <c r="C950" s="5"/>
      <c r="D950" s="5"/>
      <c r="E950" s="37"/>
    </row>
    <row r="955" spans="1:7" ht="18.75" x14ac:dyDescent="0.3">
      <c r="A955" s="35" t="s">
        <v>0</v>
      </c>
      <c r="B955" s="35" t="s">
        <v>1</v>
      </c>
      <c r="C955" s="35" t="s">
        <v>2</v>
      </c>
      <c r="D955" s="35" t="s">
        <v>3</v>
      </c>
      <c r="E955" s="35" t="s">
        <v>4</v>
      </c>
      <c r="F955" s="35" t="s">
        <v>5</v>
      </c>
      <c r="G955" s="35" t="s">
        <v>6</v>
      </c>
    </row>
    <row r="956" spans="1:7" ht="18.75" x14ac:dyDescent="0.3">
      <c r="A956" s="22"/>
      <c r="B956" s="22" t="s">
        <v>814</v>
      </c>
      <c r="C956" s="23"/>
      <c r="D956" s="24"/>
      <c r="E956" s="22"/>
      <c r="F956" s="25"/>
      <c r="G956" s="26">
        <f>D956*E956</f>
        <v>0</v>
      </c>
    </row>
    <row r="957" spans="1:7" ht="18.75" x14ac:dyDescent="0.3">
      <c r="A957" s="1" t="s">
        <v>7</v>
      </c>
      <c r="B957" s="7">
        <v>6.6</v>
      </c>
      <c r="C957" s="48" t="s">
        <v>3</v>
      </c>
      <c r="D957" s="48" t="s">
        <v>8</v>
      </c>
      <c r="E957" s="46"/>
      <c r="F957" s="10"/>
      <c r="G957" s="11"/>
    </row>
    <row r="958" spans="1:7" ht="18.75" x14ac:dyDescent="0.3">
      <c r="A958" s="2"/>
      <c r="B958" s="12"/>
      <c r="C958" s="12"/>
      <c r="D958" s="50">
        <f>B958*C958</f>
        <v>0</v>
      </c>
      <c r="E958" s="21">
        <v>0.6</v>
      </c>
      <c r="F958" s="10"/>
      <c r="G958" s="21">
        <v>0.4</v>
      </c>
    </row>
    <row r="959" spans="1:7" ht="18.75" x14ac:dyDescent="0.3">
      <c r="A959" s="2"/>
      <c r="B959" s="12"/>
      <c r="C959" s="12"/>
      <c r="D959" s="50">
        <f t="shared" ref="D959" si="25">B959*C959</f>
        <v>0</v>
      </c>
      <c r="E959" s="10"/>
      <c r="F959" s="10"/>
      <c r="G959" s="10"/>
    </row>
    <row r="960" spans="1:7" ht="18.75" x14ac:dyDescent="0.3">
      <c r="A960" s="2"/>
      <c r="B960" s="12"/>
      <c r="C960" s="12"/>
      <c r="D960" s="50">
        <f>B960*C960</f>
        <v>0</v>
      </c>
      <c r="E960" s="10"/>
      <c r="F960" s="10"/>
      <c r="G960" s="10"/>
    </row>
    <row r="961" spans="1:7" ht="18.75" x14ac:dyDescent="0.3">
      <c r="A961" s="2"/>
      <c r="B961" s="12"/>
      <c r="C961" s="12"/>
      <c r="D961" s="50">
        <f t="shared" ref="D961:D966" si="26">B961*C961</f>
        <v>0</v>
      </c>
      <c r="E961" s="10"/>
      <c r="F961" s="10"/>
      <c r="G961" s="10"/>
    </row>
    <row r="962" spans="1:7" ht="18.75" x14ac:dyDescent="0.3">
      <c r="A962" s="2"/>
      <c r="B962" s="12"/>
      <c r="C962" s="12"/>
      <c r="D962" s="50">
        <f t="shared" si="26"/>
        <v>0</v>
      </c>
      <c r="E962" s="10"/>
      <c r="F962" s="10"/>
      <c r="G962" s="14">
        <f>E957-D972-D973-D974-D975-D976-D977-D978-D979-D980-D981-D982-D983-D984-D985-D986-D987-D988-D989-D990-D991-D992-D993-D994-D994</f>
        <v>0</v>
      </c>
    </row>
    <row r="963" spans="1:7" ht="18.75" x14ac:dyDescent="0.3">
      <c r="A963" s="2"/>
      <c r="B963" s="12"/>
      <c r="C963" s="12"/>
      <c r="D963" s="50">
        <f t="shared" si="26"/>
        <v>0</v>
      </c>
      <c r="E963" s="10"/>
      <c r="F963" s="10"/>
      <c r="G963" s="10"/>
    </row>
    <row r="964" spans="1:7" ht="18.75" x14ac:dyDescent="0.3">
      <c r="A964" s="2"/>
      <c r="B964" s="12"/>
      <c r="C964" s="12"/>
      <c r="D964" s="50">
        <f t="shared" si="26"/>
        <v>0</v>
      </c>
      <c r="E964" s="10"/>
      <c r="F964" s="10"/>
    </row>
    <row r="965" spans="1:7" ht="18.75" x14ac:dyDescent="0.3">
      <c r="A965" s="2"/>
      <c r="B965" s="12"/>
      <c r="C965" s="12"/>
      <c r="D965" s="50">
        <f t="shared" si="26"/>
        <v>0</v>
      </c>
      <c r="E965" s="10"/>
      <c r="F965" s="10"/>
    </row>
    <row r="966" spans="1:7" ht="18.75" x14ac:dyDescent="0.3">
      <c r="A966" s="2"/>
      <c r="B966" s="12"/>
      <c r="C966" s="12"/>
      <c r="D966" s="50">
        <f t="shared" si="26"/>
        <v>0</v>
      </c>
      <c r="E966" s="10"/>
      <c r="F966" s="16"/>
    </row>
    <row r="967" spans="1:7" ht="18.75" x14ac:dyDescent="0.3">
      <c r="A967" s="2"/>
      <c r="B967" s="12"/>
      <c r="C967" s="12"/>
      <c r="D967" s="50"/>
      <c r="E967" s="10"/>
      <c r="F967" s="17"/>
    </row>
    <row r="968" spans="1:7" ht="18.75" x14ac:dyDescent="0.3">
      <c r="A968" s="2"/>
      <c r="B968" s="12"/>
      <c r="C968" s="3"/>
      <c r="D968" s="50"/>
      <c r="E968" s="10"/>
      <c r="F968" s="10"/>
    </row>
    <row r="969" spans="1:7" ht="18.75" x14ac:dyDescent="0.3">
      <c r="A969" s="2"/>
      <c r="B969" s="12"/>
      <c r="C969" s="3"/>
      <c r="D969" s="50"/>
      <c r="E969" s="10"/>
      <c r="F969" s="10"/>
    </row>
    <row r="970" spans="1:7" ht="18.75" x14ac:dyDescent="0.3">
      <c r="A970" s="18"/>
      <c r="B970" s="19"/>
      <c r="C970" s="20"/>
      <c r="D970" s="13"/>
      <c r="E970" s="10"/>
      <c r="F970" s="10"/>
    </row>
    <row r="971" spans="1:7" ht="18.75" x14ac:dyDescent="0.3">
      <c r="A971" s="1" t="s">
        <v>10</v>
      </c>
      <c r="B971" s="1" t="s">
        <v>11</v>
      </c>
      <c r="C971" s="1" t="s">
        <v>12</v>
      </c>
      <c r="D971" s="1" t="s">
        <v>13</v>
      </c>
      <c r="E971" s="1" t="s">
        <v>14</v>
      </c>
      <c r="F971" s="10"/>
    </row>
    <row r="972" spans="1:7" ht="18.75" x14ac:dyDescent="0.3">
      <c r="A972" s="3"/>
      <c r="B972" s="4"/>
      <c r="C972" s="3"/>
      <c r="D972" s="3"/>
      <c r="E972" s="3"/>
      <c r="F972" s="10"/>
    </row>
    <row r="973" spans="1:7" ht="18.75" x14ac:dyDescent="0.3">
      <c r="A973" s="3"/>
      <c r="B973" s="4"/>
      <c r="C973" s="3"/>
      <c r="D973" s="3"/>
      <c r="E973" s="5"/>
      <c r="F973" s="10"/>
    </row>
    <row r="974" spans="1:7" ht="18.75" x14ac:dyDescent="0.3">
      <c r="A974" s="3"/>
      <c r="B974" s="4"/>
      <c r="C974" s="3"/>
      <c r="D974" s="3"/>
      <c r="E974" s="5"/>
      <c r="F974" s="10"/>
    </row>
    <row r="975" spans="1:7" ht="18.75" x14ac:dyDescent="0.3">
      <c r="A975" s="3"/>
      <c r="B975" s="4"/>
      <c r="C975" s="3"/>
      <c r="D975" s="3"/>
      <c r="E975" s="3"/>
      <c r="F975" s="10"/>
    </row>
    <row r="976" spans="1:7" ht="18.75" x14ac:dyDescent="0.3">
      <c r="A976" s="3"/>
      <c r="B976" s="4"/>
      <c r="C976" s="3"/>
      <c r="D976" s="3"/>
      <c r="E976" s="5"/>
      <c r="F976" s="10"/>
    </row>
    <row r="977" spans="1:6" ht="18.75" x14ac:dyDescent="0.3">
      <c r="A977" s="3"/>
      <c r="B977" s="4"/>
      <c r="C977" s="3"/>
      <c r="D977" s="3"/>
      <c r="E977" s="5"/>
      <c r="F977" s="10"/>
    </row>
    <row r="978" spans="1:6" ht="18.75" x14ac:dyDescent="0.3">
      <c r="A978" s="3"/>
      <c r="B978" s="4"/>
      <c r="C978" s="3"/>
      <c r="D978" s="3"/>
      <c r="E978" s="5"/>
      <c r="F978" s="10"/>
    </row>
    <row r="979" spans="1:6" ht="18.75" x14ac:dyDescent="0.3">
      <c r="A979" s="3"/>
      <c r="B979" s="4"/>
      <c r="C979" s="3"/>
      <c r="D979" s="3"/>
      <c r="E979" s="3"/>
      <c r="F979" s="10"/>
    </row>
    <row r="980" spans="1:6" ht="18.75" x14ac:dyDescent="0.3">
      <c r="A980" s="3"/>
      <c r="B980" s="4"/>
      <c r="C980" s="3"/>
      <c r="D980" s="3"/>
      <c r="E980" s="3"/>
      <c r="F980" s="10"/>
    </row>
    <row r="981" spans="1:6" ht="18.75" x14ac:dyDescent="0.3">
      <c r="A981" s="3"/>
      <c r="B981" s="4"/>
      <c r="C981" s="3"/>
      <c r="D981" s="3"/>
      <c r="E981" s="3"/>
      <c r="F981" s="10"/>
    </row>
    <row r="982" spans="1:6" ht="18.75" x14ac:dyDescent="0.3">
      <c r="A982" s="3"/>
      <c r="B982" s="4"/>
      <c r="C982" s="3"/>
      <c r="D982" s="3"/>
      <c r="E982" s="3"/>
      <c r="F982" s="10"/>
    </row>
    <row r="983" spans="1:6" ht="18.75" x14ac:dyDescent="0.3">
      <c r="A983" s="3"/>
      <c r="B983" s="4"/>
      <c r="C983" s="3"/>
      <c r="D983" s="3"/>
      <c r="E983" s="3"/>
      <c r="F983" s="100"/>
    </row>
    <row r="984" spans="1:6" ht="18.75" x14ac:dyDescent="0.3">
      <c r="A984" s="3"/>
      <c r="B984" s="4"/>
      <c r="C984" s="3"/>
      <c r="D984" s="3"/>
      <c r="E984" s="3"/>
      <c r="F984" s="10"/>
    </row>
    <row r="985" spans="1:6" ht="18.75" x14ac:dyDescent="0.3">
      <c r="A985" s="3"/>
      <c r="B985" s="4"/>
      <c r="C985" s="3"/>
      <c r="D985" s="3"/>
      <c r="E985" s="3"/>
      <c r="F985" s="10"/>
    </row>
    <row r="986" spans="1:6" ht="18.75" x14ac:dyDescent="0.3">
      <c r="A986" s="3"/>
      <c r="B986" s="4"/>
      <c r="C986" s="3"/>
      <c r="D986" s="5"/>
      <c r="E986" s="3"/>
      <c r="F986" s="10"/>
    </row>
    <row r="987" spans="1:6" ht="18.75" x14ac:dyDescent="0.3">
      <c r="A987" s="3"/>
      <c r="B987" s="4"/>
      <c r="C987" s="5"/>
      <c r="D987" s="5"/>
      <c r="E987" s="3"/>
      <c r="F987" s="10"/>
    </row>
    <row r="988" spans="1:6" ht="18.75" x14ac:dyDescent="0.3">
      <c r="A988" s="3"/>
      <c r="B988" s="4"/>
      <c r="C988" s="5"/>
      <c r="D988" s="5"/>
      <c r="E988" s="3"/>
    </row>
    <row r="989" spans="1:6" ht="18.75" x14ac:dyDescent="0.3">
      <c r="A989" s="3"/>
      <c r="B989" s="4"/>
      <c r="C989" s="5"/>
      <c r="D989" s="5"/>
      <c r="E989" s="3"/>
    </row>
    <row r="990" spans="1:6" ht="18.75" x14ac:dyDescent="0.3">
      <c r="A990" s="3"/>
      <c r="B990" s="4"/>
      <c r="C990" s="5"/>
      <c r="D990" s="5"/>
      <c r="E990" s="3"/>
    </row>
    <row r="991" spans="1:6" ht="18.75" x14ac:dyDescent="0.3">
      <c r="A991" s="3"/>
      <c r="B991" s="4"/>
      <c r="C991" s="5"/>
      <c r="D991" s="5"/>
      <c r="E991" s="3"/>
    </row>
    <row r="992" spans="1:6" ht="18.75" x14ac:dyDescent="0.3">
      <c r="A992" s="3"/>
      <c r="B992" s="4"/>
      <c r="C992" s="5"/>
      <c r="D992" s="5"/>
      <c r="E992" s="3"/>
    </row>
    <row r="993" spans="1:7" ht="18.75" x14ac:dyDescent="0.3">
      <c r="A993" s="3"/>
      <c r="B993" s="4"/>
      <c r="C993" s="5"/>
      <c r="D993" s="5"/>
      <c r="E993" s="37"/>
    </row>
    <row r="994" spans="1:7" ht="18.75" x14ac:dyDescent="0.3">
      <c r="A994" s="3"/>
      <c r="B994" s="4"/>
      <c r="C994" s="5"/>
      <c r="D994" s="5"/>
      <c r="E994" s="37"/>
    </row>
    <row r="999" spans="1:7" ht="18.75" x14ac:dyDescent="0.3">
      <c r="A999" s="35" t="s">
        <v>0</v>
      </c>
      <c r="B999" s="35" t="s">
        <v>1</v>
      </c>
      <c r="C999" s="35" t="s">
        <v>2</v>
      </c>
      <c r="D999" s="35" t="s">
        <v>3</v>
      </c>
      <c r="E999" s="35" t="s">
        <v>4</v>
      </c>
      <c r="F999" s="35" t="s">
        <v>5</v>
      </c>
      <c r="G999" s="35" t="s">
        <v>6</v>
      </c>
    </row>
    <row r="1000" spans="1:7" ht="18.75" x14ac:dyDescent="0.3">
      <c r="A1000" s="22"/>
      <c r="B1000" s="22" t="s">
        <v>814</v>
      </c>
      <c r="C1000" s="23"/>
      <c r="D1000" s="24"/>
      <c r="E1000" s="22"/>
      <c r="F1000" s="25"/>
      <c r="G1000" s="26">
        <f>D1000*E1000</f>
        <v>0</v>
      </c>
    </row>
    <row r="1001" spans="1:7" ht="18.75" x14ac:dyDescent="0.3">
      <c r="A1001" s="1" t="s">
        <v>7</v>
      </c>
      <c r="B1001" s="7">
        <v>6.6</v>
      </c>
      <c r="C1001" s="48" t="s">
        <v>3</v>
      </c>
      <c r="D1001" s="48" t="s">
        <v>8</v>
      </c>
      <c r="E1001" s="46"/>
      <c r="F1001" s="10"/>
      <c r="G1001" s="11"/>
    </row>
    <row r="1002" spans="1:7" ht="18.75" x14ac:dyDescent="0.3">
      <c r="A1002" s="2"/>
      <c r="B1002" s="12"/>
      <c r="C1002" s="12"/>
      <c r="D1002" s="50">
        <f>B1002*C1002</f>
        <v>0</v>
      </c>
      <c r="E1002" s="21">
        <v>0.6</v>
      </c>
      <c r="F1002" s="10"/>
      <c r="G1002" s="21">
        <v>0.4</v>
      </c>
    </row>
    <row r="1003" spans="1:7" ht="18.75" x14ac:dyDescent="0.3">
      <c r="A1003" s="2"/>
      <c r="B1003" s="12"/>
      <c r="C1003" s="12"/>
      <c r="D1003" s="50">
        <f t="shared" ref="D1003" si="27">B1003*C1003</f>
        <v>0</v>
      </c>
      <c r="E1003" s="10"/>
      <c r="F1003" s="10"/>
      <c r="G1003" s="10"/>
    </row>
    <row r="1004" spans="1:7" ht="18.75" x14ac:dyDescent="0.3">
      <c r="A1004" s="2"/>
      <c r="B1004" s="12"/>
      <c r="C1004" s="12"/>
      <c r="D1004" s="50">
        <f>B1004*C1004</f>
        <v>0</v>
      </c>
      <c r="E1004" s="10"/>
      <c r="F1004" s="10"/>
      <c r="G1004" s="10"/>
    </row>
    <row r="1005" spans="1:7" ht="18.75" x14ac:dyDescent="0.3">
      <c r="A1005" s="2"/>
      <c r="B1005" s="12"/>
      <c r="C1005" s="12"/>
      <c r="D1005" s="50">
        <f t="shared" ref="D1005:D1010" si="28">B1005*C1005</f>
        <v>0</v>
      </c>
      <c r="E1005" s="10"/>
      <c r="F1005" s="10"/>
      <c r="G1005" s="10"/>
    </row>
    <row r="1006" spans="1:7" ht="18.75" x14ac:dyDescent="0.3">
      <c r="A1006" s="2"/>
      <c r="B1006" s="12"/>
      <c r="C1006" s="12"/>
      <c r="D1006" s="50">
        <f t="shared" si="28"/>
        <v>0</v>
      </c>
      <c r="E1006" s="10"/>
      <c r="F1006" s="10"/>
      <c r="G1006" s="14">
        <f>E1001-D1016-D1017-D1018-D1019-D1020-D1021-D1022-D1023-D1024-D1025-D1026-D1027-D1028-D1029-D1030-D1031-D1032-D1033-D1034-D1035-D1036-D1037-D1038-D1038</f>
        <v>0</v>
      </c>
    </row>
    <row r="1007" spans="1:7" ht="18.75" x14ac:dyDescent="0.3">
      <c r="A1007" s="2"/>
      <c r="B1007" s="12"/>
      <c r="C1007" s="12"/>
      <c r="D1007" s="50">
        <f t="shared" si="28"/>
        <v>0</v>
      </c>
      <c r="E1007" s="10"/>
      <c r="F1007" s="10"/>
      <c r="G1007" s="10"/>
    </row>
    <row r="1008" spans="1:7" ht="18.75" x14ac:dyDescent="0.3">
      <c r="A1008" s="2"/>
      <c r="B1008" s="12"/>
      <c r="C1008" s="12"/>
      <c r="D1008" s="50">
        <f t="shared" si="28"/>
        <v>0</v>
      </c>
      <c r="E1008" s="10"/>
      <c r="F1008" s="10"/>
    </row>
    <row r="1009" spans="1:6" ht="18.75" x14ac:dyDescent="0.3">
      <c r="A1009" s="2"/>
      <c r="B1009" s="12"/>
      <c r="C1009" s="12"/>
      <c r="D1009" s="50">
        <f t="shared" si="28"/>
        <v>0</v>
      </c>
      <c r="E1009" s="10"/>
      <c r="F1009" s="10"/>
    </row>
    <row r="1010" spans="1:6" ht="18.75" x14ac:dyDescent="0.3">
      <c r="A1010" s="2"/>
      <c r="B1010" s="12"/>
      <c r="C1010" s="12"/>
      <c r="D1010" s="50">
        <f t="shared" si="28"/>
        <v>0</v>
      </c>
      <c r="E1010" s="10"/>
      <c r="F1010" s="16"/>
    </row>
    <row r="1011" spans="1:6" ht="18.75" x14ac:dyDescent="0.3">
      <c r="A1011" s="2"/>
      <c r="B1011" s="12"/>
      <c r="C1011" s="12"/>
      <c r="D1011" s="50"/>
      <c r="E1011" s="10"/>
      <c r="F1011" s="17"/>
    </row>
    <row r="1012" spans="1:6" ht="18.75" x14ac:dyDescent="0.3">
      <c r="A1012" s="2"/>
      <c r="B1012" s="12"/>
      <c r="C1012" s="3"/>
      <c r="D1012" s="50"/>
      <c r="E1012" s="10"/>
      <c r="F1012" s="10"/>
    </row>
    <row r="1013" spans="1:6" ht="18.75" x14ac:dyDescent="0.3">
      <c r="A1013" s="2"/>
      <c r="B1013" s="12"/>
      <c r="C1013" s="3"/>
      <c r="D1013" s="50"/>
      <c r="E1013" s="10"/>
      <c r="F1013" s="10"/>
    </row>
    <row r="1014" spans="1:6" ht="18.75" x14ac:dyDescent="0.3">
      <c r="A1014" s="18"/>
      <c r="B1014" s="19"/>
      <c r="C1014" s="20"/>
      <c r="D1014" s="13"/>
      <c r="E1014" s="10"/>
      <c r="F1014" s="10"/>
    </row>
    <row r="1015" spans="1:6" ht="18.75" x14ac:dyDescent="0.3">
      <c r="A1015" s="1" t="s">
        <v>10</v>
      </c>
      <c r="B1015" s="1" t="s">
        <v>11</v>
      </c>
      <c r="C1015" s="1" t="s">
        <v>12</v>
      </c>
      <c r="D1015" s="1" t="s">
        <v>13</v>
      </c>
      <c r="E1015" s="1" t="s">
        <v>14</v>
      </c>
      <c r="F1015" s="10"/>
    </row>
    <row r="1016" spans="1:6" ht="18.75" x14ac:dyDescent="0.3">
      <c r="A1016" s="3"/>
      <c r="B1016" s="4"/>
      <c r="C1016" s="3"/>
      <c r="D1016" s="3"/>
      <c r="E1016" s="3"/>
      <c r="F1016" s="10"/>
    </row>
    <row r="1017" spans="1:6" ht="18.75" x14ac:dyDescent="0.3">
      <c r="A1017" s="3"/>
      <c r="B1017" s="4"/>
      <c r="C1017" s="3"/>
      <c r="D1017" s="3"/>
      <c r="E1017" s="5"/>
      <c r="F1017" s="10"/>
    </row>
    <row r="1018" spans="1:6" ht="18.75" x14ac:dyDescent="0.3">
      <c r="A1018" s="3"/>
      <c r="B1018" s="4"/>
      <c r="C1018" s="3"/>
      <c r="D1018" s="3"/>
      <c r="E1018" s="5"/>
      <c r="F1018" s="10"/>
    </row>
    <row r="1019" spans="1:6" ht="18.75" x14ac:dyDescent="0.3">
      <c r="A1019" s="3"/>
      <c r="B1019" s="4"/>
      <c r="C1019" s="3"/>
      <c r="D1019" s="3"/>
      <c r="E1019" s="3"/>
      <c r="F1019" s="10"/>
    </row>
    <row r="1020" spans="1:6" ht="18.75" x14ac:dyDescent="0.3">
      <c r="A1020" s="3"/>
      <c r="B1020" s="4"/>
      <c r="C1020" s="3"/>
      <c r="D1020" s="3"/>
      <c r="E1020" s="5"/>
      <c r="F1020" s="10"/>
    </row>
    <row r="1021" spans="1:6" ht="18.75" x14ac:dyDescent="0.3">
      <c r="A1021" s="3"/>
      <c r="B1021" s="4"/>
      <c r="C1021" s="3"/>
      <c r="D1021" s="3"/>
      <c r="E1021" s="5"/>
      <c r="F1021" s="10"/>
    </row>
    <row r="1022" spans="1:6" ht="18.75" x14ac:dyDescent="0.3">
      <c r="A1022" s="3"/>
      <c r="B1022" s="4"/>
      <c r="C1022" s="3"/>
      <c r="D1022" s="3"/>
      <c r="E1022" s="5"/>
      <c r="F1022" s="10"/>
    </row>
    <row r="1023" spans="1:6" ht="18.75" x14ac:dyDescent="0.3">
      <c r="A1023" s="3"/>
      <c r="B1023" s="4"/>
      <c r="C1023" s="3"/>
      <c r="D1023" s="3"/>
      <c r="E1023" s="3"/>
      <c r="F1023" s="10"/>
    </row>
    <row r="1024" spans="1:6" ht="18.75" x14ac:dyDescent="0.3">
      <c r="A1024" s="3"/>
      <c r="B1024" s="4"/>
      <c r="C1024" s="3"/>
      <c r="D1024" s="3"/>
      <c r="E1024" s="3"/>
      <c r="F1024" s="10"/>
    </row>
    <row r="1025" spans="1:6" ht="18.75" x14ac:dyDescent="0.3">
      <c r="A1025" s="3"/>
      <c r="B1025" s="4"/>
      <c r="C1025" s="3"/>
      <c r="D1025" s="3"/>
      <c r="E1025" s="3"/>
      <c r="F1025" s="10"/>
    </row>
    <row r="1026" spans="1:6" ht="18.75" x14ac:dyDescent="0.3">
      <c r="A1026" s="3"/>
      <c r="B1026" s="4"/>
      <c r="C1026" s="3"/>
      <c r="D1026" s="3"/>
      <c r="E1026" s="3"/>
      <c r="F1026" s="10"/>
    </row>
    <row r="1027" spans="1:6" ht="18.75" x14ac:dyDescent="0.3">
      <c r="A1027" s="3"/>
      <c r="B1027" s="4"/>
      <c r="C1027" s="3"/>
      <c r="D1027" s="3"/>
      <c r="E1027" s="3"/>
      <c r="F1027" s="100"/>
    </row>
    <row r="1028" spans="1:6" ht="18.75" x14ac:dyDescent="0.3">
      <c r="A1028" s="3"/>
      <c r="B1028" s="4"/>
      <c r="C1028" s="3"/>
      <c r="D1028" s="3"/>
      <c r="E1028" s="3"/>
      <c r="F1028" s="10"/>
    </row>
    <row r="1029" spans="1:6" ht="18.75" x14ac:dyDescent="0.3">
      <c r="A1029" s="3"/>
      <c r="B1029" s="4"/>
      <c r="C1029" s="3"/>
      <c r="D1029" s="3"/>
      <c r="E1029" s="3"/>
      <c r="F1029" s="10"/>
    </row>
    <row r="1030" spans="1:6" ht="18.75" x14ac:dyDescent="0.3">
      <c r="A1030" s="3"/>
      <c r="B1030" s="4"/>
      <c r="C1030" s="3"/>
      <c r="D1030" s="5"/>
      <c r="E1030" s="3"/>
      <c r="F1030" s="10"/>
    </row>
    <row r="1031" spans="1:6" ht="18.75" x14ac:dyDescent="0.3">
      <c r="A1031" s="3"/>
      <c r="B1031" s="4"/>
      <c r="C1031" s="5"/>
      <c r="D1031" s="5"/>
      <c r="E1031" s="3"/>
      <c r="F1031" s="10"/>
    </row>
    <row r="1032" spans="1:6" ht="18.75" x14ac:dyDescent="0.3">
      <c r="A1032" s="3"/>
      <c r="B1032" s="4"/>
      <c r="C1032" s="5"/>
      <c r="D1032" s="5"/>
      <c r="E1032" s="3"/>
    </row>
    <row r="1033" spans="1:6" ht="18.75" x14ac:dyDescent="0.3">
      <c r="A1033" s="3"/>
      <c r="B1033" s="4"/>
      <c r="C1033" s="5"/>
      <c r="D1033" s="5"/>
      <c r="E1033" s="3"/>
    </row>
    <row r="1034" spans="1:6" ht="18.75" x14ac:dyDescent="0.3">
      <c r="A1034" s="3"/>
      <c r="B1034" s="4"/>
      <c r="C1034" s="5"/>
      <c r="D1034" s="5"/>
      <c r="E1034" s="3"/>
    </row>
    <row r="1035" spans="1:6" ht="18.75" x14ac:dyDescent="0.3">
      <c r="A1035" s="3"/>
      <c r="B1035" s="4"/>
      <c r="C1035" s="5"/>
      <c r="D1035" s="5"/>
      <c r="E1035" s="3"/>
    </row>
    <row r="1036" spans="1:6" ht="18.75" x14ac:dyDescent="0.3">
      <c r="A1036" s="3"/>
      <c r="B1036" s="4"/>
      <c r="C1036" s="5"/>
      <c r="D1036" s="5"/>
      <c r="E1036" s="3"/>
    </row>
    <row r="1037" spans="1:6" ht="18.75" x14ac:dyDescent="0.3">
      <c r="A1037" s="3"/>
      <c r="B1037" s="4"/>
      <c r="C1037" s="5"/>
      <c r="D1037" s="5"/>
      <c r="E1037" s="37"/>
    </row>
    <row r="1038" spans="1:6" ht="18.75" x14ac:dyDescent="0.3">
      <c r="A1038" s="3"/>
      <c r="B1038" s="4"/>
      <c r="C1038" s="5"/>
      <c r="D1038" s="5"/>
      <c r="E1038" s="37"/>
    </row>
    <row r="1043" spans="1:7" ht="18.75" x14ac:dyDescent="0.3">
      <c r="A1043" s="35" t="s">
        <v>0</v>
      </c>
      <c r="B1043" s="35" t="s">
        <v>1</v>
      </c>
      <c r="C1043" s="35" t="s">
        <v>2</v>
      </c>
      <c r="D1043" s="35" t="s">
        <v>3</v>
      </c>
      <c r="E1043" s="35" t="s">
        <v>4</v>
      </c>
      <c r="F1043" s="35" t="s">
        <v>5</v>
      </c>
      <c r="G1043" s="35" t="s">
        <v>6</v>
      </c>
    </row>
    <row r="1044" spans="1:7" ht="18.75" x14ac:dyDescent="0.3">
      <c r="A1044" s="22"/>
      <c r="B1044" s="22" t="s">
        <v>814</v>
      </c>
      <c r="C1044" s="23"/>
      <c r="D1044" s="24"/>
      <c r="E1044" s="22"/>
      <c r="F1044" s="25"/>
      <c r="G1044" s="26">
        <f>D1044*E1044</f>
        <v>0</v>
      </c>
    </row>
    <row r="1045" spans="1:7" ht="18.75" x14ac:dyDescent="0.3">
      <c r="A1045" s="1" t="s">
        <v>7</v>
      </c>
      <c r="B1045" s="7">
        <v>6.6</v>
      </c>
      <c r="C1045" s="48" t="s">
        <v>3</v>
      </c>
      <c r="D1045" s="48" t="s">
        <v>8</v>
      </c>
      <c r="E1045" s="46"/>
      <c r="F1045" s="10"/>
      <c r="G1045" s="11"/>
    </row>
    <row r="1046" spans="1:7" ht="18.75" x14ac:dyDescent="0.3">
      <c r="A1046" s="2"/>
      <c r="B1046" s="12"/>
      <c r="C1046" s="12"/>
      <c r="D1046" s="50">
        <f>B1046*C1046</f>
        <v>0</v>
      </c>
      <c r="E1046" s="21">
        <v>0.6</v>
      </c>
      <c r="F1046" s="10"/>
      <c r="G1046" s="21">
        <v>0.4</v>
      </c>
    </row>
    <row r="1047" spans="1:7" ht="18.75" x14ac:dyDescent="0.3">
      <c r="A1047" s="2"/>
      <c r="B1047" s="12"/>
      <c r="C1047" s="12"/>
      <c r="D1047" s="50">
        <f t="shared" ref="D1047" si="29">B1047*C1047</f>
        <v>0</v>
      </c>
      <c r="E1047" s="10"/>
      <c r="F1047" s="10"/>
      <c r="G1047" s="10"/>
    </row>
    <row r="1048" spans="1:7" ht="18.75" x14ac:dyDescent="0.3">
      <c r="A1048" s="2"/>
      <c r="B1048" s="12"/>
      <c r="C1048" s="12"/>
      <c r="D1048" s="50">
        <f>B1048*C1048</f>
        <v>0</v>
      </c>
      <c r="E1048" s="10"/>
      <c r="F1048" s="10"/>
      <c r="G1048" s="10"/>
    </row>
    <row r="1049" spans="1:7" ht="18.75" x14ac:dyDescent="0.3">
      <c r="A1049" s="2"/>
      <c r="B1049" s="12"/>
      <c r="C1049" s="12"/>
      <c r="D1049" s="50">
        <f t="shared" ref="D1049:D1054" si="30">B1049*C1049</f>
        <v>0</v>
      </c>
      <c r="E1049" s="10"/>
      <c r="F1049" s="10"/>
      <c r="G1049" s="10"/>
    </row>
    <row r="1050" spans="1:7" ht="18.75" x14ac:dyDescent="0.3">
      <c r="A1050" s="2"/>
      <c r="B1050" s="12"/>
      <c r="C1050" s="12"/>
      <c r="D1050" s="50">
        <f t="shared" si="30"/>
        <v>0</v>
      </c>
      <c r="E1050" s="10"/>
      <c r="F1050" s="10"/>
      <c r="G1050" s="14">
        <f>E1045-D1060-D1061-D1062-D1063-D1064-D1065-D1066-D1067-D1068-D1069-D1070-D1071-D1072-D1073-D1074-D1075-D1076-D1077-D1078-D1079-D1080-D1081-D1082-D1082</f>
        <v>0</v>
      </c>
    </row>
    <row r="1051" spans="1:7" ht="18.75" x14ac:dyDescent="0.3">
      <c r="A1051" s="2"/>
      <c r="B1051" s="12"/>
      <c r="C1051" s="12"/>
      <c r="D1051" s="50">
        <f t="shared" si="30"/>
        <v>0</v>
      </c>
      <c r="E1051" s="10"/>
      <c r="F1051" s="10"/>
      <c r="G1051" s="10"/>
    </row>
    <row r="1052" spans="1:7" ht="18.75" x14ac:dyDescent="0.3">
      <c r="A1052" s="2"/>
      <c r="B1052" s="12"/>
      <c r="C1052" s="12"/>
      <c r="D1052" s="50">
        <f t="shared" si="30"/>
        <v>0</v>
      </c>
      <c r="E1052" s="10"/>
      <c r="F1052" s="10"/>
    </row>
    <row r="1053" spans="1:7" ht="18.75" x14ac:dyDescent="0.3">
      <c r="A1053" s="2"/>
      <c r="B1053" s="12"/>
      <c r="C1053" s="12"/>
      <c r="D1053" s="50">
        <f t="shared" si="30"/>
        <v>0</v>
      </c>
      <c r="E1053" s="10"/>
      <c r="F1053" s="10"/>
    </row>
    <row r="1054" spans="1:7" ht="18.75" x14ac:dyDescent="0.3">
      <c r="A1054" s="2"/>
      <c r="B1054" s="12"/>
      <c r="C1054" s="12"/>
      <c r="D1054" s="50">
        <f t="shared" si="30"/>
        <v>0</v>
      </c>
      <c r="E1054" s="10"/>
      <c r="F1054" s="16"/>
    </row>
    <row r="1055" spans="1:7" ht="18.75" x14ac:dyDescent="0.3">
      <c r="A1055" s="2"/>
      <c r="B1055" s="12"/>
      <c r="C1055" s="12"/>
      <c r="D1055" s="50"/>
      <c r="E1055" s="10"/>
      <c r="F1055" s="17"/>
    </row>
    <row r="1056" spans="1:7" ht="18.75" x14ac:dyDescent="0.3">
      <c r="A1056" s="2"/>
      <c r="B1056" s="12"/>
      <c r="C1056" s="3"/>
      <c r="D1056" s="50"/>
      <c r="E1056" s="10"/>
      <c r="F1056" s="10"/>
    </row>
    <row r="1057" spans="1:6" ht="18.75" x14ac:dyDescent="0.3">
      <c r="A1057" s="2"/>
      <c r="B1057" s="12"/>
      <c r="C1057" s="3"/>
      <c r="D1057" s="50"/>
      <c r="E1057" s="10"/>
      <c r="F1057" s="10"/>
    </row>
    <row r="1058" spans="1:6" ht="18.75" x14ac:dyDescent="0.3">
      <c r="A1058" s="18"/>
      <c r="B1058" s="19"/>
      <c r="C1058" s="20"/>
      <c r="D1058" s="13"/>
      <c r="E1058" s="10"/>
      <c r="F1058" s="10"/>
    </row>
    <row r="1059" spans="1:6" ht="18.75" x14ac:dyDescent="0.3">
      <c r="A1059" s="1" t="s">
        <v>10</v>
      </c>
      <c r="B1059" s="1" t="s">
        <v>11</v>
      </c>
      <c r="C1059" s="1" t="s">
        <v>12</v>
      </c>
      <c r="D1059" s="1" t="s">
        <v>13</v>
      </c>
      <c r="E1059" s="1" t="s">
        <v>14</v>
      </c>
      <c r="F1059" s="10"/>
    </row>
    <row r="1060" spans="1:6" ht="18.75" x14ac:dyDescent="0.3">
      <c r="A1060" s="3"/>
      <c r="B1060" s="4"/>
      <c r="C1060" s="3"/>
      <c r="D1060" s="3"/>
      <c r="E1060" s="3"/>
      <c r="F1060" s="10"/>
    </row>
    <row r="1061" spans="1:6" ht="18.75" x14ac:dyDescent="0.3">
      <c r="A1061" s="3"/>
      <c r="B1061" s="4"/>
      <c r="C1061" s="3"/>
      <c r="D1061" s="3"/>
      <c r="E1061" s="5"/>
      <c r="F1061" s="10"/>
    </row>
    <row r="1062" spans="1:6" ht="18.75" x14ac:dyDescent="0.3">
      <c r="A1062" s="3"/>
      <c r="B1062" s="4"/>
      <c r="C1062" s="3"/>
      <c r="D1062" s="3"/>
      <c r="E1062" s="5"/>
      <c r="F1062" s="10"/>
    </row>
    <row r="1063" spans="1:6" ht="18.75" x14ac:dyDescent="0.3">
      <c r="A1063" s="3"/>
      <c r="B1063" s="4"/>
      <c r="C1063" s="3"/>
      <c r="D1063" s="3"/>
      <c r="E1063" s="3"/>
      <c r="F1063" s="10"/>
    </row>
    <row r="1064" spans="1:6" ht="18.75" x14ac:dyDescent="0.3">
      <c r="A1064" s="3"/>
      <c r="B1064" s="4"/>
      <c r="C1064" s="3"/>
      <c r="D1064" s="3"/>
      <c r="E1064" s="5"/>
      <c r="F1064" s="10"/>
    </row>
    <row r="1065" spans="1:6" ht="18.75" x14ac:dyDescent="0.3">
      <c r="A1065" s="3"/>
      <c r="B1065" s="4"/>
      <c r="C1065" s="3"/>
      <c r="D1065" s="3"/>
      <c r="E1065" s="5"/>
      <c r="F1065" s="10"/>
    </row>
    <row r="1066" spans="1:6" ht="18.75" x14ac:dyDescent="0.3">
      <c r="A1066" s="3"/>
      <c r="B1066" s="4"/>
      <c r="C1066" s="3"/>
      <c r="D1066" s="3"/>
      <c r="E1066" s="5"/>
      <c r="F1066" s="10"/>
    </row>
    <row r="1067" spans="1:6" ht="18.75" x14ac:dyDescent="0.3">
      <c r="A1067" s="3"/>
      <c r="B1067" s="4"/>
      <c r="C1067" s="3"/>
      <c r="D1067" s="3"/>
      <c r="E1067" s="3"/>
      <c r="F1067" s="10"/>
    </row>
    <row r="1068" spans="1:6" ht="18.75" x14ac:dyDescent="0.3">
      <c r="A1068" s="3"/>
      <c r="B1068" s="4"/>
      <c r="C1068" s="3"/>
      <c r="D1068" s="3"/>
      <c r="E1068" s="3"/>
      <c r="F1068" s="10"/>
    </row>
    <row r="1069" spans="1:6" ht="18.75" x14ac:dyDescent="0.3">
      <c r="A1069" s="3"/>
      <c r="B1069" s="4"/>
      <c r="C1069" s="3"/>
      <c r="D1069" s="3"/>
      <c r="E1069" s="3"/>
      <c r="F1069" s="10"/>
    </row>
    <row r="1070" spans="1:6" ht="18.75" x14ac:dyDescent="0.3">
      <c r="A1070" s="3"/>
      <c r="B1070" s="4"/>
      <c r="C1070" s="3"/>
      <c r="D1070" s="3"/>
      <c r="E1070" s="3"/>
      <c r="F1070" s="10"/>
    </row>
    <row r="1071" spans="1:6" ht="18.75" x14ac:dyDescent="0.3">
      <c r="A1071" s="3"/>
      <c r="B1071" s="4"/>
      <c r="C1071" s="3"/>
      <c r="D1071" s="3"/>
      <c r="E1071" s="3"/>
      <c r="F1071" s="100"/>
    </row>
    <row r="1072" spans="1:6" ht="18.75" x14ac:dyDescent="0.3">
      <c r="A1072" s="3"/>
      <c r="B1072" s="4"/>
      <c r="C1072" s="3"/>
      <c r="D1072" s="3"/>
      <c r="E1072" s="3"/>
      <c r="F1072" s="10"/>
    </row>
    <row r="1073" spans="1:7" ht="18.75" x14ac:dyDescent="0.3">
      <c r="A1073" s="3"/>
      <c r="B1073" s="4"/>
      <c r="C1073" s="3"/>
      <c r="D1073" s="3"/>
      <c r="E1073" s="3"/>
      <c r="F1073" s="10"/>
    </row>
    <row r="1074" spans="1:7" ht="18.75" x14ac:dyDescent="0.3">
      <c r="A1074" s="3"/>
      <c r="B1074" s="4"/>
      <c r="C1074" s="3"/>
      <c r="D1074" s="5"/>
      <c r="E1074" s="3"/>
      <c r="F1074" s="10"/>
    </row>
    <row r="1075" spans="1:7" ht="18.75" x14ac:dyDescent="0.3">
      <c r="A1075" s="3"/>
      <c r="B1075" s="4"/>
      <c r="C1075" s="5"/>
      <c r="D1075" s="5"/>
      <c r="E1075" s="3"/>
      <c r="F1075" s="10"/>
    </row>
    <row r="1076" spans="1:7" ht="18.75" x14ac:dyDescent="0.3">
      <c r="A1076" s="3"/>
      <c r="B1076" s="4"/>
      <c r="C1076" s="5"/>
      <c r="D1076" s="5"/>
      <c r="E1076" s="3"/>
    </row>
    <row r="1077" spans="1:7" ht="18.75" x14ac:dyDescent="0.3">
      <c r="A1077" s="3"/>
      <c r="B1077" s="4"/>
      <c r="C1077" s="5"/>
      <c r="D1077" s="5"/>
      <c r="E1077" s="3"/>
    </row>
    <row r="1078" spans="1:7" ht="18.75" x14ac:dyDescent="0.3">
      <c r="A1078" s="3"/>
      <c r="B1078" s="4"/>
      <c r="C1078" s="5"/>
      <c r="D1078" s="5"/>
      <c r="E1078" s="3"/>
    </row>
    <row r="1079" spans="1:7" ht="18.75" x14ac:dyDescent="0.3">
      <c r="A1079" s="3"/>
      <c r="B1079" s="4"/>
      <c r="C1079" s="5"/>
      <c r="D1079" s="5"/>
      <c r="E1079" s="3"/>
    </row>
    <row r="1080" spans="1:7" ht="18.75" x14ac:dyDescent="0.3">
      <c r="A1080" s="3"/>
      <c r="B1080" s="4"/>
      <c r="C1080" s="5"/>
      <c r="D1080" s="5"/>
      <c r="E1080" s="3"/>
    </row>
    <row r="1081" spans="1:7" ht="18.75" x14ac:dyDescent="0.3">
      <c r="A1081" s="3"/>
      <c r="B1081" s="4"/>
      <c r="C1081" s="5"/>
      <c r="D1081" s="5"/>
      <c r="E1081" s="37"/>
    </row>
    <row r="1082" spans="1:7" ht="18.75" x14ac:dyDescent="0.3">
      <c r="A1082" s="3"/>
      <c r="B1082" s="4"/>
      <c r="C1082" s="5"/>
      <c r="D1082" s="5"/>
      <c r="E1082" s="37"/>
    </row>
    <row r="1087" spans="1:7" ht="18.75" x14ac:dyDescent="0.3">
      <c r="A1087" s="35" t="s">
        <v>0</v>
      </c>
      <c r="B1087" s="35" t="s">
        <v>1</v>
      </c>
      <c r="C1087" s="35" t="s">
        <v>2</v>
      </c>
      <c r="D1087" s="35" t="s">
        <v>3</v>
      </c>
      <c r="E1087" s="35" t="s">
        <v>4</v>
      </c>
      <c r="F1087" s="35" t="s">
        <v>5</v>
      </c>
      <c r="G1087" s="35" t="s">
        <v>6</v>
      </c>
    </row>
    <row r="1088" spans="1:7" ht="18.75" x14ac:dyDescent="0.3">
      <c r="A1088" s="22"/>
      <c r="B1088" s="22" t="s">
        <v>814</v>
      </c>
      <c r="C1088" s="23"/>
      <c r="D1088" s="24"/>
      <c r="E1088" s="22"/>
      <c r="F1088" s="25"/>
      <c r="G1088" s="26">
        <f>D1088*E1088</f>
        <v>0</v>
      </c>
    </row>
    <row r="1089" spans="1:7" ht="18.75" x14ac:dyDescent="0.3">
      <c r="A1089" s="1" t="s">
        <v>7</v>
      </c>
      <c r="B1089" s="7">
        <v>6.6</v>
      </c>
      <c r="C1089" s="48" t="s">
        <v>3</v>
      </c>
      <c r="D1089" s="48" t="s">
        <v>8</v>
      </c>
      <c r="E1089" s="46"/>
      <c r="F1089" s="10"/>
      <c r="G1089" s="11"/>
    </row>
    <row r="1090" spans="1:7" ht="18.75" x14ac:dyDescent="0.3">
      <c r="A1090" s="2"/>
      <c r="B1090" s="12"/>
      <c r="C1090" s="12"/>
      <c r="D1090" s="50">
        <f>B1090*C1090</f>
        <v>0</v>
      </c>
      <c r="E1090" s="21">
        <v>0.6</v>
      </c>
      <c r="F1090" s="10"/>
      <c r="G1090" s="21">
        <v>0.4</v>
      </c>
    </row>
    <row r="1091" spans="1:7" ht="18.75" x14ac:dyDescent="0.3">
      <c r="A1091" s="2"/>
      <c r="B1091" s="12"/>
      <c r="C1091" s="12"/>
      <c r="D1091" s="50">
        <f t="shared" ref="D1091" si="31">B1091*C1091</f>
        <v>0</v>
      </c>
      <c r="E1091" s="10"/>
      <c r="F1091" s="10"/>
      <c r="G1091" s="10"/>
    </row>
    <row r="1092" spans="1:7" ht="18.75" x14ac:dyDescent="0.3">
      <c r="A1092" s="2"/>
      <c r="B1092" s="12"/>
      <c r="C1092" s="12"/>
      <c r="D1092" s="50">
        <f>B1092*C1092</f>
        <v>0</v>
      </c>
      <c r="E1092" s="10"/>
      <c r="F1092" s="10"/>
      <c r="G1092" s="10"/>
    </row>
    <row r="1093" spans="1:7" ht="18.75" x14ac:dyDescent="0.3">
      <c r="A1093" s="2"/>
      <c r="B1093" s="12"/>
      <c r="C1093" s="12"/>
      <c r="D1093" s="50">
        <f t="shared" ref="D1093:D1098" si="32">B1093*C1093</f>
        <v>0</v>
      </c>
      <c r="E1093" s="10"/>
      <c r="F1093" s="10"/>
      <c r="G1093" s="10"/>
    </row>
    <row r="1094" spans="1:7" ht="18.75" x14ac:dyDescent="0.3">
      <c r="A1094" s="2"/>
      <c r="B1094" s="12"/>
      <c r="C1094" s="12"/>
      <c r="D1094" s="50">
        <f t="shared" si="32"/>
        <v>0</v>
      </c>
      <c r="E1094" s="10"/>
      <c r="F1094" s="10"/>
      <c r="G1094" s="14">
        <f>E1089-D1104-D1105-D1106-D1107-D1108-D1109-D1110-D1111-D1112-D1113-D1114-D1115-D1116-D1117-D1118-D1119-D1120-D1121-D1122-D1123-D1124-D1125-D1126-D1126</f>
        <v>0</v>
      </c>
    </row>
    <row r="1095" spans="1:7" ht="18.75" x14ac:dyDescent="0.3">
      <c r="A1095" s="2"/>
      <c r="B1095" s="12"/>
      <c r="C1095" s="12"/>
      <c r="D1095" s="50">
        <f t="shared" si="32"/>
        <v>0</v>
      </c>
      <c r="E1095" s="10"/>
      <c r="F1095" s="10"/>
      <c r="G1095" s="10"/>
    </row>
    <row r="1096" spans="1:7" ht="18.75" x14ac:dyDescent="0.3">
      <c r="A1096" s="2"/>
      <c r="B1096" s="12"/>
      <c r="C1096" s="12"/>
      <c r="D1096" s="50">
        <f t="shared" si="32"/>
        <v>0</v>
      </c>
      <c r="E1096" s="10"/>
      <c r="F1096" s="10"/>
    </row>
    <row r="1097" spans="1:7" ht="18.75" x14ac:dyDescent="0.3">
      <c r="A1097" s="2"/>
      <c r="B1097" s="12"/>
      <c r="C1097" s="12"/>
      <c r="D1097" s="50">
        <f t="shared" si="32"/>
        <v>0</v>
      </c>
      <c r="E1097" s="10"/>
      <c r="F1097" s="10"/>
    </row>
    <row r="1098" spans="1:7" ht="18.75" x14ac:dyDescent="0.3">
      <c r="A1098" s="2"/>
      <c r="B1098" s="12"/>
      <c r="C1098" s="12"/>
      <c r="D1098" s="50">
        <f t="shared" si="32"/>
        <v>0</v>
      </c>
      <c r="E1098" s="10"/>
      <c r="F1098" s="16"/>
    </row>
    <row r="1099" spans="1:7" ht="18.75" x14ac:dyDescent="0.3">
      <c r="A1099" s="2"/>
      <c r="B1099" s="12"/>
      <c r="C1099" s="12"/>
      <c r="D1099" s="50"/>
      <c r="E1099" s="10"/>
      <c r="F1099" s="17"/>
    </row>
    <row r="1100" spans="1:7" ht="18.75" x14ac:dyDescent="0.3">
      <c r="A1100" s="2"/>
      <c r="B1100" s="12"/>
      <c r="C1100" s="3"/>
      <c r="D1100" s="50"/>
      <c r="E1100" s="10"/>
      <c r="F1100" s="10"/>
    </row>
    <row r="1101" spans="1:7" ht="18.75" x14ac:dyDescent="0.3">
      <c r="A1101" s="2"/>
      <c r="B1101" s="12"/>
      <c r="C1101" s="3"/>
      <c r="D1101" s="50"/>
      <c r="E1101" s="10"/>
      <c r="F1101" s="10"/>
    </row>
    <row r="1102" spans="1:7" ht="18.75" x14ac:dyDescent="0.3">
      <c r="A1102" s="18"/>
      <c r="B1102" s="19"/>
      <c r="C1102" s="20"/>
      <c r="D1102" s="13"/>
      <c r="E1102" s="10"/>
      <c r="F1102" s="10"/>
    </row>
    <row r="1103" spans="1:7" ht="18.75" x14ac:dyDescent="0.3">
      <c r="A1103" s="1" t="s">
        <v>10</v>
      </c>
      <c r="B1103" s="1" t="s">
        <v>11</v>
      </c>
      <c r="C1103" s="1" t="s">
        <v>12</v>
      </c>
      <c r="D1103" s="1" t="s">
        <v>13</v>
      </c>
      <c r="E1103" s="1" t="s">
        <v>14</v>
      </c>
      <c r="F1103" s="10"/>
    </row>
    <row r="1104" spans="1:7" ht="18.75" x14ac:dyDescent="0.3">
      <c r="A1104" s="3"/>
      <c r="B1104" s="4"/>
      <c r="C1104" s="3"/>
      <c r="D1104" s="3"/>
      <c r="E1104" s="3"/>
      <c r="F1104" s="10"/>
    </row>
    <row r="1105" spans="1:6" ht="18.75" x14ac:dyDescent="0.3">
      <c r="A1105" s="3"/>
      <c r="B1105" s="4"/>
      <c r="C1105" s="3"/>
      <c r="D1105" s="3"/>
      <c r="E1105" s="5"/>
      <c r="F1105" s="10"/>
    </row>
    <row r="1106" spans="1:6" ht="18.75" x14ac:dyDescent="0.3">
      <c r="A1106" s="3"/>
      <c r="B1106" s="4"/>
      <c r="C1106" s="3"/>
      <c r="D1106" s="3"/>
      <c r="E1106" s="5"/>
      <c r="F1106" s="10"/>
    </row>
    <row r="1107" spans="1:6" ht="18.75" x14ac:dyDescent="0.3">
      <c r="A1107" s="3"/>
      <c r="B1107" s="4"/>
      <c r="C1107" s="3"/>
      <c r="D1107" s="3"/>
      <c r="E1107" s="3"/>
      <c r="F1107" s="10"/>
    </row>
    <row r="1108" spans="1:6" ht="18.75" x14ac:dyDescent="0.3">
      <c r="A1108" s="3"/>
      <c r="B1108" s="4"/>
      <c r="C1108" s="3"/>
      <c r="D1108" s="3"/>
      <c r="E1108" s="5"/>
      <c r="F1108" s="10"/>
    </row>
    <row r="1109" spans="1:6" ht="18.75" x14ac:dyDescent="0.3">
      <c r="A1109" s="3"/>
      <c r="B1109" s="4"/>
      <c r="C1109" s="3"/>
      <c r="D1109" s="3"/>
      <c r="E1109" s="5"/>
      <c r="F1109" s="10"/>
    </row>
    <row r="1110" spans="1:6" ht="18.75" x14ac:dyDescent="0.3">
      <c r="A1110" s="3"/>
      <c r="B1110" s="4"/>
      <c r="C1110" s="3"/>
      <c r="D1110" s="3"/>
      <c r="E1110" s="5"/>
      <c r="F1110" s="10"/>
    </row>
    <row r="1111" spans="1:6" ht="18.75" x14ac:dyDescent="0.3">
      <c r="A1111" s="3"/>
      <c r="B1111" s="4"/>
      <c r="C1111" s="3"/>
      <c r="D1111" s="3"/>
      <c r="E1111" s="3"/>
      <c r="F1111" s="10"/>
    </row>
    <row r="1112" spans="1:6" ht="18.75" x14ac:dyDescent="0.3">
      <c r="A1112" s="3"/>
      <c r="B1112" s="4"/>
      <c r="C1112" s="3"/>
      <c r="D1112" s="3"/>
      <c r="E1112" s="3"/>
      <c r="F1112" s="10"/>
    </row>
    <row r="1113" spans="1:6" ht="18.75" x14ac:dyDescent="0.3">
      <c r="A1113" s="3"/>
      <c r="B1113" s="4"/>
      <c r="C1113" s="3"/>
      <c r="D1113" s="3"/>
      <c r="E1113" s="3"/>
      <c r="F1113" s="10"/>
    </row>
    <row r="1114" spans="1:6" ht="18.75" x14ac:dyDescent="0.3">
      <c r="A1114" s="3"/>
      <c r="B1114" s="4"/>
      <c r="C1114" s="3"/>
      <c r="D1114" s="3"/>
      <c r="E1114" s="3"/>
      <c r="F1114" s="10"/>
    </row>
    <row r="1115" spans="1:6" ht="18.75" x14ac:dyDescent="0.3">
      <c r="A1115" s="3"/>
      <c r="B1115" s="4"/>
      <c r="C1115" s="3"/>
      <c r="D1115" s="3"/>
      <c r="E1115" s="3"/>
      <c r="F1115" s="100"/>
    </row>
    <row r="1116" spans="1:6" ht="18.75" x14ac:dyDescent="0.3">
      <c r="A1116" s="3"/>
      <c r="B1116" s="4"/>
      <c r="C1116" s="3"/>
      <c r="D1116" s="3"/>
      <c r="E1116" s="3"/>
      <c r="F1116" s="10"/>
    </row>
    <row r="1117" spans="1:6" ht="18.75" x14ac:dyDescent="0.3">
      <c r="A1117" s="3"/>
      <c r="B1117" s="4"/>
      <c r="C1117" s="3"/>
      <c r="D1117" s="3"/>
      <c r="E1117" s="3"/>
      <c r="F1117" s="10"/>
    </row>
    <row r="1118" spans="1:6" ht="18.75" x14ac:dyDescent="0.3">
      <c r="A1118" s="3"/>
      <c r="B1118" s="4"/>
      <c r="C1118" s="3"/>
      <c r="D1118" s="5"/>
      <c r="E1118" s="3"/>
      <c r="F1118" s="10"/>
    </row>
    <row r="1119" spans="1:6" ht="18.75" x14ac:dyDescent="0.3">
      <c r="A1119" s="3"/>
      <c r="B1119" s="4"/>
      <c r="C1119" s="5"/>
      <c r="D1119" s="5"/>
      <c r="E1119" s="3"/>
      <c r="F1119" s="10"/>
    </row>
    <row r="1120" spans="1:6" ht="18.75" x14ac:dyDescent="0.3">
      <c r="A1120" s="3"/>
      <c r="B1120" s="4"/>
      <c r="C1120" s="5"/>
      <c r="D1120" s="5"/>
      <c r="E1120" s="3"/>
    </row>
    <row r="1121" spans="1:7" ht="18.75" x14ac:dyDescent="0.3">
      <c r="A1121" s="3"/>
      <c r="B1121" s="4"/>
      <c r="C1121" s="5"/>
      <c r="D1121" s="5"/>
      <c r="E1121" s="3"/>
    </row>
    <row r="1122" spans="1:7" ht="18.75" x14ac:dyDescent="0.3">
      <c r="A1122" s="3"/>
      <c r="B1122" s="4"/>
      <c r="C1122" s="5"/>
      <c r="D1122" s="5"/>
      <c r="E1122" s="3"/>
    </row>
    <row r="1123" spans="1:7" ht="18.75" x14ac:dyDescent="0.3">
      <c r="A1123" s="3"/>
      <c r="B1123" s="4"/>
      <c r="C1123" s="5"/>
      <c r="D1123" s="5"/>
      <c r="E1123" s="3"/>
    </row>
    <row r="1124" spans="1:7" ht="18.75" x14ac:dyDescent="0.3">
      <c r="A1124" s="3"/>
      <c r="B1124" s="4"/>
      <c r="C1124" s="5"/>
      <c r="D1124" s="5"/>
      <c r="E1124" s="3"/>
    </row>
    <row r="1125" spans="1:7" ht="18.75" x14ac:dyDescent="0.3">
      <c r="A1125" s="3"/>
      <c r="B1125" s="4"/>
      <c r="C1125" s="5"/>
      <c r="D1125" s="5"/>
      <c r="E1125" s="37"/>
    </row>
    <row r="1126" spans="1:7" ht="18.75" x14ac:dyDescent="0.3">
      <c r="A1126" s="3"/>
      <c r="B1126" s="4"/>
      <c r="C1126" s="5"/>
      <c r="D1126" s="5"/>
      <c r="E1126" s="37"/>
    </row>
    <row r="1131" spans="1:7" ht="18.75" x14ac:dyDescent="0.3">
      <c r="A1131" s="35" t="s">
        <v>0</v>
      </c>
      <c r="B1131" s="35" t="s">
        <v>1</v>
      </c>
      <c r="C1131" s="35" t="s">
        <v>2</v>
      </c>
      <c r="D1131" s="35" t="s">
        <v>3</v>
      </c>
      <c r="E1131" s="35" t="s">
        <v>4</v>
      </c>
      <c r="F1131" s="35" t="s">
        <v>5</v>
      </c>
      <c r="G1131" s="35" t="s">
        <v>6</v>
      </c>
    </row>
    <row r="1132" spans="1:7" ht="18.75" x14ac:dyDescent="0.3">
      <c r="A1132" s="22"/>
      <c r="B1132" s="22" t="s">
        <v>814</v>
      </c>
      <c r="C1132" s="23"/>
      <c r="D1132" s="24"/>
      <c r="E1132" s="22"/>
      <c r="F1132" s="25"/>
      <c r="G1132" s="26">
        <f>D1132*E1132</f>
        <v>0</v>
      </c>
    </row>
    <row r="1133" spans="1:7" ht="18.75" x14ac:dyDescent="0.3">
      <c r="A1133" s="1" t="s">
        <v>7</v>
      </c>
      <c r="B1133" s="7">
        <v>6.6</v>
      </c>
      <c r="C1133" s="48" t="s">
        <v>3</v>
      </c>
      <c r="D1133" s="48" t="s">
        <v>8</v>
      </c>
      <c r="E1133" s="46"/>
      <c r="F1133" s="10"/>
      <c r="G1133" s="11"/>
    </row>
    <row r="1134" spans="1:7" ht="18.75" x14ac:dyDescent="0.3">
      <c r="A1134" s="2"/>
      <c r="B1134" s="12"/>
      <c r="C1134" s="12"/>
      <c r="D1134" s="50">
        <f>B1134*C1134</f>
        <v>0</v>
      </c>
      <c r="E1134" s="21">
        <v>0.6</v>
      </c>
      <c r="F1134" s="10"/>
      <c r="G1134" s="21">
        <v>0.4</v>
      </c>
    </row>
    <row r="1135" spans="1:7" ht="18.75" x14ac:dyDescent="0.3">
      <c r="A1135" s="2"/>
      <c r="B1135" s="12"/>
      <c r="C1135" s="12"/>
      <c r="D1135" s="50">
        <f t="shared" ref="D1135" si="33">B1135*C1135</f>
        <v>0</v>
      </c>
      <c r="E1135" s="10"/>
      <c r="F1135" s="10"/>
      <c r="G1135" s="10"/>
    </row>
    <row r="1136" spans="1:7" ht="18.75" x14ac:dyDescent="0.3">
      <c r="A1136" s="2"/>
      <c r="B1136" s="12"/>
      <c r="C1136" s="12"/>
      <c r="D1136" s="50">
        <f>B1136*C1136</f>
        <v>0</v>
      </c>
      <c r="E1136" s="10"/>
      <c r="F1136" s="10"/>
      <c r="G1136" s="10"/>
    </row>
    <row r="1137" spans="1:7" ht="18.75" x14ac:dyDescent="0.3">
      <c r="A1137" s="2"/>
      <c r="B1137" s="12"/>
      <c r="C1137" s="12"/>
      <c r="D1137" s="50">
        <f t="shared" ref="D1137:D1142" si="34">B1137*C1137</f>
        <v>0</v>
      </c>
      <c r="E1137" s="10"/>
      <c r="F1137" s="10"/>
      <c r="G1137" s="10"/>
    </row>
    <row r="1138" spans="1:7" ht="18.75" x14ac:dyDescent="0.3">
      <c r="A1138" s="2"/>
      <c r="B1138" s="12"/>
      <c r="C1138" s="12"/>
      <c r="D1138" s="50">
        <f t="shared" si="34"/>
        <v>0</v>
      </c>
      <c r="E1138" s="10"/>
      <c r="F1138" s="10"/>
      <c r="G1138" s="14">
        <f>E1133-D1148-D1149-D1150-D1151-D1152-D1153-D1154-D1155-D1156-D1157-D1158-D1159-D1160-D1161-D1162-D1163-D1164-D1165-D1166-D1167-D1168-D1169-D1170-D1170</f>
        <v>0</v>
      </c>
    </row>
    <row r="1139" spans="1:7" ht="18.75" x14ac:dyDescent="0.3">
      <c r="A1139" s="2"/>
      <c r="B1139" s="12"/>
      <c r="C1139" s="12"/>
      <c r="D1139" s="50">
        <f t="shared" si="34"/>
        <v>0</v>
      </c>
      <c r="E1139" s="10"/>
      <c r="F1139" s="10"/>
      <c r="G1139" s="10"/>
    </row>
    <row r="1140" spans="1:7" ht="18.75" x14ac:dyDescent="0.3">
      <c r="A1140" s="2"/>
      <c r="B1140" s="12"/>
      <c r="C1140" s="12"/>
      <c r="D1140" s="50">
        <f t="shared" si="34"/>
        <v>0</v>
      </c>
      <c r="E1140" s="10"/>
      <c r="F1140" s="10"/>
    </row>
    <row r="1141" spans="1:7" ht="18.75" x14ac:dyDescent="0.3">
      <c r="A1141" s="2"/>
      <c r="B1141" s="12"/>
      <c r="C1141" s="12"/>
      <c r="D1141" s="50">
        <f t="shared" si="34"/>
        <v>0</v>
      </c>
      <c r="E1141" s="10"/>
      <c r="F1141" s="10"/>
    </row>
    <row r="1142" spans="1:7" ht="18.75" x14ac:dyDescent="0.3">
      <c r="A1142" s="2"/>
      <c r="B1142" s="12"/>
      <c r="C1142" s="12"/>
      <c r="D1142" s="50">
        <f t="shared" si="34"/>
        <v>0</v>
      </c>
      <c r="E1142" s="10"/>
      <c r="F1142" s="16"/>
    </row>
    <row r="1143" spans="1:7" ht="18.75" x14ac:dyDescent="0.3">
      <c r="A1143" s="2"/>
      <c r="B1143" s="12"/>
      <c r="C1143" s="12"/>
      <c r="D1143" s="50"/>
      <c r="E1143" s="10"/>
      <c r="F1143" s="17"/>
    </row>
    <row r="1144" spans="1:7" ht="18.75" x14ac:dyDescent="0.3">
      <c r="A1144" s="2"/>
      <c r="B1144" s="12"/>
      <c r="C1144" s="3"/>
      <c r="D1144" s="50"/>
      <c r="E1144" s="10"/>
      <c r="F1144" s="10"/>
    </row>
    <row r="1145" spans="1:7" ht="18.75" x14ac:dyDescent="0.3">
      <c r="A1145" s="2"/>
      <c r="B1145" s="12"/>
      <c r="C1145" s="3"/>
      <c r="D1145" s="50"/>
      <c r="E1145" s="10"/>
      <c r="F1145" s="10"/>
    </row>
    <row r="1146" spans="1:7" ht="18.75" x14ac:dyDescent="0.3">
      <c r="A1146" s="18"/>
      <c r="B1146" s="19"/>
      <c r="C1146" s="20"/>
      <c r="D1146" s="13"/>
      <c r="E1146" s="10"/>
      <c r="F1146" s="10"/>
    </row>
    <row r="1147" spans="1:7" ht="18.75" x14ac:dyDescent="0.3">
      <c r="A1147" s="1" t="s">
        <v>10</v>
      </c>
      <c r="B1147" s="1" t="s">
        <v>11</v>
      </c>
      <c r="C1147" s="1" t="s">
        <v>12</v>
      </c>
      <c r="D1147" s="1" t="s">
        <v>13</v>
      </c>
      <c r="E1147" s="1" t="s">
        <v>14</v>
      </c>
      <c r="F1147" s="10"/>
    </row>
    <row r="1148" spans="1:7" ht="18.75" x14ac:dyDescent="0.3">
      <c r="A1148" s="3"/>
      <c r="B1148" s="4"/>
      <c r="C1148" s="3"/>
      <c r="D1148" s="3"/>
      <c r="E1148" s="3"/>
      <c r="F1148" s="10"/>
    </row>
    <row r="1149" spans="1:7" ht="18.75" x14ac:dyDescent="0.3">
      <c r="A1149" s="3"/>
      <c r="B1149" s="4"/>
      <c r="C1149" s="3"/>
      <c r="D1149" s="3"/>
      <c r="E1149" s="5"/>
      <c r="F1149" s="10"/>
    </row>
    <row r="1150" spans="1:7" ht="18.75" x14ac:dyDescent="0.3">
      <c r="A1150" s="3"/>
      <c r="B1150" s="4"/>
      <c r="C1150" s="3"/>
      <c r="D1150" s="3"/>
      <c r="E1150" s="5"/>
      <c r="F1150" s="10"/>
    </row>
    <row r="1151" spans="1:7" ht="18.75" x14ac:dyDescent="0.3">
      <c r="A1151" s="3"/>
      <c r="B1151" s="4"/>
      <c r="C1151" s="3"/>
      <c r="D1151" s="3"/>
      <c r="E1151" s="3"/>
      <c r="F1151" s="10"/>
    </row>
    <row r="1152" spans="1:7" ht="18.75" x14ac:dyDescent="0.3">
      <c r="A1152" s="3"/>
      <c r="B1152" s="4"/>
      <c r="C1152" s="3"/>
      <c r="D1152" s="3"/>
      <c r="E1152" s="5"/>
      <c r="F1152" s="10"/>
    </row>
    <row r="1153" spans="1:6" ht="18.75" x14ac:dyDescent="0.3">
      <c r="A1153" s="3"/>
      <c r="B1153" s="4"/>
      <c r="C1153" s="3"/>
      <c r="D1153" s="3"/>
      <c r="E1153" s="5"/>
      <c r="F1153" s="10"/>
    </row>
    <row r="1154" spans="1:6" ht="18.75" x14ac:dyDescent="0.3">
      <c r="A1154" s="3"/>
      <c r="B1154" s="4"/>
      <c r="C1154" s="3"/>
      <c r="D1154" s="3"/>
      <c r="E1154" s="5"/>
      <c r="F1154" s="10"/>
    </row>
    <row r="1155" spans="1:6" ht="18.75" x14ac:dyDescent="0.3">
      <c r="A1155" s="3"/>
      <c r="B1155" s="4"/>
      <c r="C1155" s="3"/>
      <c r="D1155" s="3"/>
      <c r="E1155" s="3"/>
      <c r="F1155" s="10"/>
    </row>
    <row r="1156" spans="1:6" ht="18.75" x14ac:dyDescent="0.3">
      <c r="A1156" s="3"/>
      <c r="B1156" s="4"/>
      <c r="C1156" s="3"/>
      <c r="D1156" s="3"/>
      <c r="E1156" s="3"/>
      <c r="F1156" s="10"/>
    </row>
    <row r="1157" spans="1:6" ht="18.75" x14ac:dyDescent="0.3">
      <c r="A1157" s="3"/>
      <c r="B1157" s="4"/>
      <c r="C1157" s="3"/>
      <c r="D1157" s="3"/>
      <c r="E1157" s="3"/>
      <c r="F1157" s="10"/>
    </row>
    <row r="1158" spans="1:6" ht="18.75" x14ac:dyDescent="0.3">
      <c r="A1158" s="3"/>
      <c r="B1158" s="4"/>
      <c r="C1158" s="3"/>
      <c r="D1158" s="3"/>
      <c r="E1158" s="3"/>
      <c r="F1158" s="10"/>
    </row>
    <row r="1159" spans="1:6" ht="18.75" x14ac:dyDescent="0.3">
      <c r="A1159" s="3"/>
      <c r="B1159" s="4"/>
      <c r="C1159" s="3"/>
      <c r="D1159" s="3"/>
      <c r="E1159" s="3"/>
      <c r="F1159" s="100"/>
    </row>
    <row r="1160" spans="1:6" ht="18.75" x14ac:dyDescent="0.3">
      <c r="A1160" s="3"/>
      <c r="B1160" s="4"/>
      <c r="C1160" s="3"/>
      <c r="D1160" s="3"/>
      <c r="E1160" s="3"/>
      <c r="F1160" s="10"/>
    </row>
    <row r="1161" spans="1:6" ht="18.75" x14ac:dyDescent="0.3">
      <c r="A1161" s="3"/>
      <c r="B1161" s="4"/>
      <c r="C1161" s="3"/>
      <c r="D1161" s="3"/>
      <c r="E1161" s="3"/>
      <c r="F1161" s="10"/>
    </row>
    <row r="1162" spans="1:6" ht="18.75" x14ac:dyDescent="0.3">
      <c r="A1162" s="3"/>
      <c r="B1162" s="4"/>
      <c r="C1162" s="3"/>
      <c r="D1162" s="5"/>
      <c r="E1162" s="3"/>
      <c r="F1162" s="10"/>
    </row>
    <row r="1163" spans="1:6" ht="18.75" x14ac:dyDescent="0.3">
      <c r="A1163" s="3"/>
      <c r="B1163" s="4"/>
      <c r="C1163" s="5"/>
      <c r="D1163" s="5"/>
      <c r="E1163" s="3"/>
      <c r="F1163" s="10"/>
    </row>
    <row r="1164" spans="1:6" ht="18.75" x14ac:dyDescent="0.3">
      <c r="A1164" s="3"/>
      <c r="B1164" s="4"/>
      <c r="C1164" s="5"/>
      <c r="D1164" s="5"/>
      <c r="E1164" s="3"/>
    </row>
    <row r="1165" spans="1:6" ht="18.75" x14ac:dyDescent="0.3">
      <c r="A1165" s="3"/>
      <c r="B1165" s="4"/>
      <c r="C1165" s="5"/>
      <c r="D1165" s="5"/>
      <c r="E1165" s="3"/>
    </row>
    <row r="1166" spans="1:6" ht="18.75" x14ac:dyDescent="0.3">
      <c r="A1166" s="3"/>
      <c r="B1166" s="4"/>
      <c r="C1166" s="5"/>
      <c r="D1166" s="5"/>
      <c r="E1166" s="3"/>
    </row>
    <row r="1167" spans="1:6" ht="18.75" x14ac:dyDescent="0.3">
      <c r="A1167" s="3"/>
      <c r="B1167" s="4"/>
      <c r="C1167" s="5"/>
      <c r="D1167" s="5"/>
      <c r="E1167" s="3"/>
    </row>
    <row r="1168" spans="1:6" ht="18.75" x14ac:dyDescent="0.3">
      <c r="A1168" s="3"/>
      <c r="B1168" s="4"/>
      <c r="C1168" s="5"/>
      <c r="D1168" s="5"/>
      <c r="E1168" s="3"/>
    </row>
    <row r="1169" spans="1:7" ht="18.75" x14ac:dyDescent="0.3">
      <c r="A1169" s="3"/>
      <c r="B1169" s="4"/>
      <c r="C1169" s="5"/>
      <c r="D1169" s="5"/>
      <c r="E1169" s="37"/>
    </row>
    <row r="1170" spans="1:7" ht="18.75" x14ac:dyDescent="0.3">
      <c r="A1170" s="3"/>
      <c r="B1170" s="4"/>
      <c r="C1170" s="5"/>
      <c r="D1170" s="5"/>
      <c r="E1170" s="37"/>
    </row>
    <row r="1176" spans="1:7" ht="18.75" x14ac:dyDescent="0.3">
      <c r="A1176" s="35" t="s">
        <v>0</v>
      </c>
      <c r="B1176" s="35" t="s">
        <v>1</v>
      </c>
      <c r="C1176" s="35" t="s">
        <v>2</v>
      </c>
      <c r="D1176" s="35" t="s">
        <v>3</v>
      </c>
      <c r="E1176" s="35" t="s">
        <v>4</v>
      </c>
      <c r="F1176" s="35" t="s">
        <v>5</v>
      </c>
      <c r="G1176" s="35" t="s">
        <v>6</v>
      </c>
    </row>
    <row r="1177" spans="1:7" ht="18.75" x14ac:dyDescent="0.3">
      <c r="A1177" s="22"/>
      <c r="B1177" s="22" t="s">
        <v>814</v>
      </c>
      <c r="C1177" s="23"/>
      <c r="D1177" s="24"/>
      <c r="E1177" s="22"/>
      <c r="F1177" s="25"/>
      <c r="G1177" s="26">
        <f>D1177*E1177</f>
        <v>0</v>
      </c>
    </row>
    <row r="1178" spans="1:7" ht="18.75" x14ac:dyDescent="0.3">
      <c r="A1178" s="1" t="s">
        <v>7</v>
      </c>
      <c r="B1178" s="7">
        <v>6.6</v>
      </c>
      <c r="C1178" s="48" t="s">
        <v>3</v>
      </c>
      <c r="D1178" s="48" t="s">
        <v>8</v>
      </c>
      <c r="E1178" s="46"/>
      <c r="F1178" s="10"/>
      <c r="G1178" s="11"/>
    </row>
    <row r="1179" spans="1:7" ht="18.75" x14ac:dyDescent="0.3">
      <c r="A1179" s="2"/>
      <c r="B1179" s="12"/>
      <c r="C1179" s="12"/>
      <c r="D1179" s="50">
        <f>B1179*C1179</f>
        <v>0</v>
      </c>
      <c r="E1179" s="21">
        <v>0.6</v>
      </c>
      <c r="F1179" s="10"/>
      <c r="G1179" s="21">
        <v>0.4</v>
      </c>
    </row>
    <row r="1180" spans="1:7" ht="18.75" x14ac:dyDescent="0.3">
      <c r="A1180" s="2"/>
      <c r="B1180" s="12"/>
      <c r="C1180" s="12"/>
      <c r="D1180" s="50">
        <f t="shared" ref="D1180" si="35">B1180*C1180</f>
        <v>0</v>
      </c>
      <c r="E1180" s="10"/>
      <c r="F1180" s="10"/>
      <c r="G1180" s="10"/>
    </row>
    <row r="1181" spans="1:7" ht="18.75" x14ac:dyDescent="0.3">
      <c r="A1181" s="2"/>
      <c r="B1181" s="12"/>
      <c r="C1181" s="12"/>
      <c r="D1181" s="50">
        <f>B1181*C1181</f>
        <v>0</v>
      </c>
      <c r="E1181" s="10"/>
      <c r="F1181" s="10"/>
      <c r="G1181" s="10"/>
    </row>
    <row r="1182" spans="1:7" ht="18.75" x14ac:dyDescent="0.3">
      <c r="A1182" s="2"/>
      <c r="B1182" s="12"/>
      <c r="C1182" s="12"/>
      <c r="D1182" s="50">
        <f t="shared" ref="D1182:D1187" si="36">B1182*C1182</f>
        <v>0</v>
      </c>
      <c r="E1182" s="10"/>
      <c r="F1182" s="10"/>
      <c r="G1182" s="10"/>
    </row>
    <row r="1183" spans="1:7" ht="18.75" x14ac:dyDescent="0.3">
      <c r="A1183" s="2"/>
      <c r="B1183" s="12"/>
      <c r="C1183" s="12"/>
      <c r="D1183" s="50">
        <f t="shared" si="36"/>
        <v>0</v>
      </c>
      <c r="E1183" s="10"/>
      <c r="F1183" s="10"/>
      <c r="G1183" s="14">
        <f>E1178-D1193-D1194-D1195-D1196-D1197-D1198-D1199-D1200-D1201-D1202-D1203-D1204-D1205-D1206-D1207-D1208-D1209-D1210-D1211-D1212-D1213-D1214-D1215-D1215</f>
        <v>0</v>
      </c>
    </row>
    <row r="1184" spans="1:7" ht="18.75" x14ac:dyDescent="0.3">
      <c r="A1184" s="2"/>
      <c r="B1184" s="12"/>
      <c r="C1184" s="12"/>
      <c r="D1184" s="50">
        <f t="shared" si="36"/>
        <v>0</v>
      </c>
      <c r="E1184" s="10"/>
      <c r="F1184" s="10"/>
      <c r="G1184" s="10"/>
    </row>
    <row r="1185" spans="1:6" ht="18.75" x14ac:dyDescent="0.3">
      <c r="A1185" s="2"/>
      <c r="B1185" s="12"/>
      <c r="C1185" s="12"/>
      <c r="D1185" s="50">
        <f t="shared" si="36"/>
        <v>0</v>
      </c>
      <c r="E1185" s="10"/>
      <c r="F1185" s="10"/>
    </row>
    <row r="1186" spans="1:6" ht="18.75" x14ac:dyDescent="0.3">
      <c r="A1186" s="2"/>
      <c r="B1186" s="12"/>
      <c r="C1186" s="12"/>
      <c r="D1186" s="50">
        <f t="shared" si="36"/>
        <v>0</v>
      </c>
      <c r="E1186" s="10"/>
      <c r="F1186" s="10"/>
    </row>
    <row r="1187" spans="1:6" ht="18.75" x14ac:dyDescent="0.3">
      <c r="A1187" s="2"/>
      <c r="B1187" s="12"/>
      <c r="C1187" s="12"/>
      <c r="D1187" s="50">
        <f t="shared" si="36"/>
        <v>0</v>
      </c>
      <c r="E1187" s="10"/>
      <c r="F1187" s="16"/>
    </row>
    <row r="1188" spans="1:6" ht="18.75" x14ac:dyDescent="0.3">
      <c r="A1188" s="2"/>
      <c r="B1188" s="12"/>
      <c r="C1188" s="12"/>
      <c r="D1188" s="50"/>
      <c r="E1188" s="10"/>
      <c r="F1188" s="17"/>
    </row>
    <row r="1189" spans="1:6" ht="18.75" x14ac:dyDescent="0.3">
      <c r="A1189" s="2"/>
      <c r="B1189" s="12"/>
      <c r="C1189" s="3"/>
      <c r="D1189" s="50"/>
      <c r="E1189" s="10"/>
      <c r="F1189" s="10"/>
    </row>
    <row r="1190" spans="1:6" ht="18.75" x14ac:dyDescent="0.3">
      <c r="A1190" s="2"/>
      <c r="B1190" s="12"/>
      <c r="C1190" s="3"/>
      <c r="D1190" s="50"/>
      <c r="E1190" s="10"/>
      <c r="F1190" s="10"/>
    </row>
    <row r="1191" spans="1:6" ht="18.75" x14ac:dyDescent="0.3">
      <c r="A1191" s="18"/>
      <c r="B1191" s="19"/>
      <c r="C1191" s="20"/>
      <c r="D1191" s="13"/>
      <c r="E1191" s="10"/>
      <c r="F1191" s="10"/>
    </row>
    <row r="1192" spans="1:6" ht="18.75" x14ac:dyDescent="0.3">
      <c r="A1192" s="1" t="s">
        <v>10</v>
      </c>
      <c r="B1192" s="1" t="s">
        <v>11</v>
      </c>
      <c r="C1192" s="1" t="s">
        <v>12</v>
      </c>
      <c r="D1192" s="1" t="s">
        <v>13</v>
      </c>
      <c r="E1192" s="1" t="s">
        <v>14</v>
      </c>
      <c r="F1192" s="10"/>
    </row>
    <row r="1193" spans="1:6" ht="18.75" x14ac:dyDescent="0.3">
      <c r="A1193" s="3"/>
      <c r="B1193" s="4"/>
      <c r="C1193" s="3"/>
      <c r="D1193" s="3"/>
      <c r="E1193" s="3"/>
      <c r="F1193" s="10"/>
    </row>
    <row r="1194" spans="1:6" ht="18.75" x14ac:dyDescent="0.3">
      <c r="A1194" s="3"/>
      <c r="B1194" s="4"/>
      <c r="C1194" s="3"/>
      <c r="D1194" s="3"/>
      <c r="E1194" s="5"/>
      <c r="F1194" s="10"/>
    </row>
    <row r="1195" spans="1:6" ht="18.75" x14ac:dyDescent="0.3">
      <c r="A1195" s="3"/>
      <c r="B1195" s="4"/>
      <c r="C1195" s="3"/>
      <c r="D1195" s="3"/>
      <c r="E1195" s="5"/>
      <c r="F1195" s="10"/>
    </row>
    <row r="1196" spans="1:6" ht="18.75" x14ac:dyDescent="0.3">
      <c r="A1196" s="3"/>
      <c r="B1196" s="4"/>
      <c r="C1196" s="3"/>
      <c r="D1196" s="3"/>
      <c r="E1196" s="3"/>
      <c r="F1196" s="10"/>
    </row>
    <row r="1197" spans="1:6" ht="18.75" x14ac:dyDescent="0.3">
      <c r="A1197" s="3"/>
      <c r="B1197" s="4"/>
      <c r="C1197" s="3"/>
      <c r="D1197" s="3"/>
      <c r="E1197" s="5"/>
      <c r="F1197" s="10"/>
    </row>
    <row r="1198" spans="1:6" ht="18.75" x14ac:dyDescent="0.3">
      <c r="A1198" s="3"/>
      <c r="B1198" s="4"/>
      <c r="C1198" s="3"/>
      <c r="D1198" s="3"/>
      <c r="E1198" s="5"/>
      <c r="F1198" s="10"/>
    </row>
    <row r="1199" spans="1:6" ht="18.75" x14ac:dyDescent="0.3">
      <c r="A1199" s="3"/>
      <c r="B1199" s="4"/>
      <c r="C1199" s="3"/>
      <c r="D1199" s="3"/>
      <c r="E1199" s="5"/>
      <c r="F1199" s="10"/>
    </row>
    <row r="1200" spans="1:6" ht="18.75" x14ac:dyDescent="0.3">
      <c r="A1200" s="3"/>
      <c r="B1200" s="4"/>
      <c r="C1200" s="3"/>
      <c r="D1200" s="3"/>
      <c r="E1200" s="3"/>
      <c r="F1200" s="10"/>
    </row>
    <row r="1201" spans="1:6" ht="18.75" x14ac:dyDescent="0.3">
      <c r="A1201" s="3"/>
      <c r="B1201" s="4"/>
      <c r="C1201" s="3"/>
      <c r="D1201" s="3"/>
      <c r="E1201" s="3"/>
      <c r="F1201" s="10"/>
    </row>
    <row r="1202" spans="1:6" ht="18.75" x14ac:dyDescent="0.3">
      <c r="A1202" s="3"/>
      <c r="B1202" s="4"/>
      <c r="C1202" s="3"/>
      <c r="D1202" s="3"/>
      <c r="E1202" s="3"/>
      <c r="F1202" s="10"/>
    </row>
    <row r="1203" spans="1:6" ht="18.75" x14ac:dyDescent="0.3">
      <c r="A1203" s="3"/>
      <c r="B1203" s="4"/>
      <c r="C1203" s="3"/>
      <c r="D1203" s="3"/>
      <c r="E1203" s="3"/>
      <c r="F1203" s="10"/>
    </row>
    <row r="1204" spans="1:6" ht="18.75" x14ac:dyDescent="0.3">
      <c r="A1204" s="3"/>
      <c r="B1204" s="4"/>
      <c r="C1204" s="3"/>
      <c r="D1204" s="3"/>
      <c r="E1204" s="3"/>
      <c r="F1204" s="100"/>
    </row>
    <row r="1205" spans="1:6" ht="18.75" x14ac:dyDescent="0.3">
      <c r="A1205" s="3"/>
      <c r="B1205" s="4"/>
      <c r="C1205" s="3"/>
      <c r="D1205" s="3"/>
      <c r="E1205" s="3"/>
      <c r="F1205" s="10"/>
    </row>
    <row r="1206" spans="1:6" ht="18.75" x14ac:dyDescent="0.3">
      <c r="A1206" s="3"/>
      <c r="B1206" s="4"/>
      <c r="C1206" s="3"/>
      <c r="D1206" s="3"/>
      <c r="E1206" s="3"/>
      <c r="F1206" s="10"/>
    </row>
    <row r="1207" spans="1:6" ht="18.75" x14ac:dyDescent="0.3">
      <c r="A1207" s="3"/>
      <c r="B1207" s="4"/>
      <c r="C1207" s="3"/>
      <c r="D1207" s="5"/>
      <c r="E1207" s="3"/>
      <c r="F1207" s="10"/>
    </row>
    <row r="1208" spans="1:6" ht="18.75" x14ac:dyDescent="0.3">
      <c r="A1208" s="3"/>
      <c r="B1208" s="4"/>
      <c r="C1208" s="5"/>
      <c r="D1208" s="5"/>
      <c r="E1208" s="3"/>
      <c r="F1208" s="10"/>
    </row>
    <row r="1209" spans="1:6" ht="18.75" x14ac:dyDescent="0.3">
      <c r="A1209" s="3"/>
      <c r="B1209" s="4"/>
      <c r="C1209" s="5"/>
      <c r="D1209" s="5"/>
      <c r="E1209" s="3"/>
    </row>
    <row r="1210" spans="1:6" ht="18.75" x14ac:dyDescent="0.3">
      <c r="A1210" s="3"/>
      <c r="B1210" s="4"/>
      <c r="C1210" s="5"/>
      <c r="D1210" s="5"/>
      <c r="E1210" s="3"/>
    </row>
    <row r="1211" spans="1:6" ht="18.75" x14ac:dyDescent="0.3">
      <c r="A1211" s="3"/>
      <c r="B1211" s="4"/>
      <c r="C1211" s="5"/>
      <c r="D1211" s="5"/>
      <c r="E1211" s="3"/>
    </row>
    <row r="1212" spans="1:6" ht="18.75" x14ac:dyDescent="0.3">
      <c r="A1212" s="3"/>
      <c r="B1212" s="4"/>
      <c r="C1212" s="5"/>
      <c r="D1212" s="5"/>
      <c r="E1212" s="3"/>
    </row>
    <row r="1213" spans="1:6" ht="18.75" x14ac:dyDescent="0.3">
      <c r="A1213" s="3"/>
      <c r="B1213" s="4"/>
      <c r="C1213" s="5"/>
      <c r="D1213" s="5"/>
      <c r="E1213" s="3"/>
    </row>
    <row r="1214" spans="1:6" ht="18.75" x14ac:dyDescent="0.3">
      <c r="A1214" s="3"/>
      <c r="B1214" s="4"/>
      <c r="C1214" s="5"/>
      <c r="D1214" s="5"/>
      <c r="E1214" s="37"/>
    </row>
    <row r="1215" spans="1:6" ht="18.75" x14ac:dyDescent="0.3">
      <c r="A1215" s="3"/>
      <c r="B1215" s="4"/>
      <c r="C1215" s="5"/>
      <c r="D1215" s="5"/>
      <c r="E1215" s="37"/>
    </row>
  </sheetData>
  <autoFilter ref="A95:E106" xr:uid="{10A0DFD5-AD07-43B9-AAAA-2FBE409D5305}"/>
  <mergeCells count="11">
    <mergeCell ref="A775:C776"/>
    <mergeCell ref="A1:C1"/>
    <mergeCell ref="B76:D77"/>
    <mergeCell ref="B152:D153"/>
    <mergeCell ref="A236:C237"/>
    <mergeCell ref="B403:D404"/>
    <mergeCell ref="B581:D582"/>
    <mergeCell ref="A627:C628"/>
    <mergeCell ref="A677:C678"/>
    <mergeCell ref="A725:C726"/>
    <mergeCell ref="B536:D537"/>
  </mergeCells>
  <phoneticPr fontId="1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1D102-5262-4C8E-A137-607C370C9A25}">
  <dimension ref="A1:J231"/>
  <sheetViews>
    <sheetView topLeftCell="A215" zoomScale="95" zoomScaleNormal="95" workbookViewId="0">
      <selection activeCell="G224" sqref="G224:G227"/>
    </sheetView>
  </sheetViews>
  <sheetFormatPr baseColWidth="10" defaultRowHeight="15" x14ac:dyDescent="0.25"/>
  <cols>
    <col min="1" max="1" width="20.7109375" customWidth="1"/>
    <col min="2" max="2" width="19.7109375" customWidth="1"/>
    <col min="3" max="3" width="38.5703125" customWidth="1"/>
    <col min="4" max="4" width="15.85546875" customWidth="1"/>
    <col min="5" max="5" width="22.28515625" customWidth="1"/>
    <col min="6" max="6" width="22.85546875" customWidth="1"/>
    <col min="7" max="7" width="22.140625" customWidth="1"/>
    <col min="8" max="8" width="20.7109375" customWidth="1"/>
    <col min="9" max="9" width="21.28515625" customWidth="1"/>
    <col min="10" max="10" width="18.42578125" customWidth="1"/>
  </cols>
  <sheetData>
    <row r="1" spans="1:10" ht="15" customHeight="1" x14ac:dyDescent="0.25">
      <c r="C1" s="160" t="s">
        <v>229</v>
      </c>
      <c r="D1" s="161"/>
      <c r="E1" s="162"/>
    </row>
    <row r="2" spans="1:10" ht="15" customHeight="1" x14ac:dyDescent="0.25">
      <c r="C2" s="163"/>
      <c r="D2" s="150"/>
      <c r="E2" s="151"/>
    </row>
    <row r="4" spans="1:10" ht="18.75" x14ac:dyDescent="0.3">
      <c r="A4" s="27" t="s">
        <v>33</v>
      </c>
      <c r="B4" s="28" t="s">
        <v>1</v>
      </c>
      <c r="C4" s="28" t="s">
        <v>34</v>
      </c>
      <c r="D4" s="28" t="s">
        <v>12</v>
      </c>
      <c r="E4" s="28" t="s">
        <v>4</v>
      </c>
      <c r="F4" s="28" t="s">
        <v>35</v>
      </c>
      <c r="G4" s="28" t="s">
        <v>36</v>
      </c>
      <c r="H4" s="28" t="s">
        <v>39</v>
      </c>
      <c r="I4" s="28" t="s">
        <v>37</v>
      </c>
      <c r="J4" s="29" t="s">
        <v>38</v>
      </c>
    </row>
    <row r="5" spans="1:10" ht="18.75" x14ac:dyDescent="0.3">
      <c r="A5" s="30">
        <v>1668</v>
      </c>
      <c r="B5" s="3" t="s">
        <v>19</v>
      </c>
      <c r="C5" s="3" t="s">
        <v>71</v>
      </c>
      <c r="D5" s="30">
        <v>1776</v>
      </c>
      <c r="E5" s="30">
        <v>900</v>
      </c>
      <c r="F5" s="30" t="s">
        <v>64</v>
      </c>
      <c r="G5" s="43">
        <f t="shared" ref="G5:G17" si="0">D5*E5</f>
        <v>1598400</v>
      </c>
      <c r="H5" s="33">
        <v>46051</v>
      </c>
      <c r="I5" s="33">
        <v>46058</v>
      </c>
      <c r="J5" s="56">
        <v>42420</v>
      </c>
    </row>
    <row r="6" spans="1:10" ht="18.75" x14ac:dyDescent="0.3">
      <c r="A6" s="30">
        <v>1675</v>
      </c>
      <c r="B6" s="3" t="s">
        <v>19</v>
      </c>
      <c r="C6" s="3" t="s">
        <v>173</v>
      </c>
      <c r="D6" s="30">
        <v>1200</v>
      </c>
      <c r="E6" s="30">
        <v>1500</v>
      </c>
      <c r="F6" s="31" t="s">
        <v>135</v>
      </c>
      <c r="G6" s="32">
        <f t="shared" si="0"/>
        <v>1800000</v>
      </c>
      <c r="H6" s="33">
        <v>46056</v>
      </c>
      <c r="I6" s="33">
        <v>42417</v>
      </c>
      <c r="J6" s="53">
        <v>46083</v>
      </c>
    </row>
    <row r="7" spans="1:10" ht="18.75" x14ac:dyDescent="0.3">
      <c r="A7" s="30">
        <v>1676</v>
      </c>
      <c r="B7" s="3" t="s">
        <v>19</v>
      </c>
      <c r="C7" s="3" t="s">
        <v>136</v>
      </c>
      <c r="D7" s="30">
        <v>1200</v>
      </c>
      <c r="E7" s="30">
        <v>800</v>
      </c>
      <c r="F7" s="30" t="s">
        <v>135</v>
      </c>
      <c r="G7" s="32">
        <f t="shared" si="0"/>
        <v>960000</v>
      </c>
      <c r="H7" s="33">
        <v>46056</v>
      </c>
      <c r="I7" s="33">
        <v>46054</v>
      </c>
      <c r="J7" s="53">
        <v>46083</v>
      </c>
    </row>
    <row r="8" spans="1:10" ht="18.75" x14ac:dyDescent="0.3">
      <c r="A8" s="30" t="s">
        <v>142</v>
      </c>
      <c r="B8" s="3" t="s">
        <v>143</v>
      </c>
      <c r="C8" s="3" t="s">
        <v>71</v>
      </c>
      <c r="D8" s="30">
        <v>1344</v>
      </c>
      <c r="E8" s="30">
        <v>950</v>
      </c>
      <c r="F8" s="30" t="s">
        <v>48</v>
      </c>
      <c r="G8" s="43">
        <f t="shared" si="0"/>
        <v>1276800</v>
      </c>
      <c r="H8" s="33">
        <v>46060</v>
      </c>
      <c r="I8" s="33">
        <v>43510</v>
      </c>
      <c r="J8" s="56">
        <v>42428</v>
      </c>
    </row>
    <row r="9" spans="1:10" ht="18.75" x14ac:dyDescent="0.3">
      <c r="A9" s="30">
        <v>1</v>
      </c>
      <c r="B9" s="3" t="s">
        <v>144</v>
      </c>
      <c r="C9" s="3" t="s">
        <v>145</v>
      </c>
      <c r="D9" s="44">
        <v>1384</v>
      </c>
      <c r="E9" s="44">
        <v>680</v>
      </c>
      <c r="F9" s="44" t="s">
        <v>151</v>
      </c>
      <c r="G9" s="43">
        <f>D9*E9</f>
        <v>941120</v>
      </c>
      <c r="H9" s="33">
        <v>46060</v>
      </c>
      <c r="I9" s="33">
        <v>46060</v>
      </c>
      <c r="J9" s="56">
        <v>46060</v>
      </c>
    </row>
    <row r="10" spans="1:10" ht="18.75" x14ac:dyDescent="0.3">
      <c r="A10" s="30">
        <v>2</v>
      </c>
      <c r="B10" s="3" t="s">
        <v>144</v>
      </c>
      <c r="C10" s="3" t="s">
        <v>152</v>
      </c>
      <c r="D10" s="44">
        <v>90</v>
      </c>
      <c r="E10" s="44">
        <v>630</v>
      </c>
      <c r="F10" s="44">
        <v>4</v>
      </c>
      <c r="G10" s="43">
        <f>D10*E10</f>
        <v>56700</v>
      </c>
      <c r="H10" s="33">
        <v>46060</v>
      </c>
      <c r="I10" s="33">
        <v>46060</v>
      </c>
      <c r="J10" s="56">
        <v>46060</v>
      </c>
    </row>
    <row r="11" spans="1:10" ht="18.75" x14ac:dyDescent="0.3">
      <c r="A11" s="30" t="s">
        <v>166</v>
      </c>
      <c r="B11" s="3" t="s">
        <v>97</v>
      </c>
      <c r="C11" s="3" t="s">
        <v>164</v>
      </c>
      <c r="D11" s="44">
        <v>640</v>
      </c>
      <c r="E11" s="44">
        <v>900</v>
      </c>
      <c r="F11" s="44"/>
      <c r="G11" s="43">
        <f t="shared" si="0"/>
        <v>576000</v>
      </c>
      <c r="H11" s="33">
        <v>46057</v>
      </c>
      <c r="I11" s="33">
        <v>46063</v>
      </c>
      <c r="J11" s="56">
        <v>46078</v>
      </c>
    </row>
    <row r="12" spans="1:10" ht="18.75" x14ac:dyDescent="0.3">
      <c r="A12" s="30" t="s">
        <v>142</v>
      </c>
      <c r="B12" s="3" t="s">
        <v>97</v>
      </c>
      <c r="C12" s="3" t="s">
        <v>165</v>
      </c>
      <c r="D12" s="44">
        <v>640</v>
      </c>
      <c r="E12" s="44">
        <v>900</v>
      </c>
      <c r="F12" s="44"/>
      <c r="G12" s="43">
        <f t="shared" si="0"/>
        <v>576000</v>
      </c>
      <c r="H12" s="33">
        <v>46058</v>
      </c>
      <c r="I12" s="33">
        <v>46063</v>
      </c>
      <c r="J12" s="56">
        <v>46078</v>
      </c>
    </row>
    <row r="13" spans="1:10" ht="18.75" x14ac:dyDescent="0.3">
      <c r="A13" s="30">
        <v>3</v>
      </c>
      <c r="B13" s="3" t="s">
        <v>144</v>
      </c>
      <c r="C13" s="3" t="s">
        <v>145</v>
      </c>
      <c r="D13" s="44">
        <v>208</v>
      </c>
      <c r="E13" s="44">
        <v>680</v>
      </c>
      <c r="F13" s="44"/>
      <c r="G13" s="43">
        <f t="shared" si="0"/>
        <v>141440</v>
      </c>
      <c r="H13" s="33"/>
      <c r="I13" s="33"/>
      <c r="J13" s="56"/>
    </row>
    <row r="14" spans="1:10" ht="18.75" x14ac:dyDescent="0.3">
      <c r="A14" s="30">
        <v>4</v>
      </c>
      <c r="B14" s="3" t="s">
        <v>144</v>
      </c>
      <c r="C14" s="3" t="s">
        <v>145</v>
      </c>
      <c r="D14" s="44">
        <v>1416</v>
      </c>
      <c r="E14" s="44">
        <v>800</v>
      </c>
      <c r="F14" s="44"/>
      <c r="G14" s="43">
        <f t="shared" si="0"/>
        <v>1132800</v>
      </c>
      <c r="H14" s="33"/>
      <c r="I14" s="33"/>
      <c r="J14" s="34"/>
    </row>
    <row r="15" spans="1:10" ht="18.75" x14ac:dyDescent="0.3">
      <c r="A15" s="30">
        <v>5</v>
      </c>
      <c r="B15" s="3" t="s">
        <v>144</v>
      </c>
      <c r="C15" s="3" t="s">
        <v>145</v>
      </c>
      <c r="D15" s="30">
        <v>1650</v>
      </c>
      <c r="E15" s="30">
        <v>800</v>
      </c>
      <c r="F15" s="30"/>
      <c r="G15" s="43">
        <f t="shared" si="0"/>
        <v>1320000</v>
      </c>
      <c r="H15" s="33"/>
      <c r="I15" s="33"/>
      <c r="J15" s="34"/>
    </row>
    <row r="16" spans="1:10" ht="18.75" x14ac:dyDescent="0.3">
      <c r="A16" s="30">
        <v>8</v>
      </c>
      <c r="B16" s="3" t="s">
        <v>144</v>
      </c>
      <c r="C16" s="3" t="s">
        <v>179</v>
      </c>
      <c r="D16" s="44">
        <v>621</v>
      </c>
      <c r="E16" s="44">
        <v>680</v>
      </c>
      <c r="F16" s="44" t="s">
        <v>151</v>
      </c>
      <c r="G16" s="43">
        <f t="shared" si="0"/>
        <v>422280</v>
      </c>
      <c r="H16" s="60">
        <v>46071</v>
      </c>
      <c r="I16" s="60"/>
      <c r="J16" s="56">
        <v>46081</v>
      </c>
    </row>
    <row r="17" spans="1:10" ht="18.75" x14ac:dyDescent="0.3">
      <c r="A17" s="30">
        <v>9</v>
      </c>
      <c r="B17" s="3" t="s">
        <v>144</v>
      </c>
      <c r="C17" s="3" t="s">
        <v>180</v>
      </c>
      <c r="D17" s="44">
        <v>207</v>
      </c>
      <c r="E17" s="44">
        <v>630</v>
      </c>
      <c r="F17" s="44" t="s">
        <v>151</v>
      </c>
      <c r="G17" s="43">
        <f t="shared" si="0"/>
        <v>130410</v>
      </c>
      <c r="H17" s="60">
        <v>42418</v>
      </c>
      <c r="I17" s="60"/>
      <c r="J17" s="56">
        <v>46081</v>
      </c>
    </row>
    <row r="18" spans="1:10" ht="18.75" x14ac:dyDescent="0.3">
      <c r="A18" s="10"/>
      <c r="B18" s="10"/>
      <c r="C18" s="10"/>
      <c r="D18" s="10"/>
      <c r="E18" s="10"/>
      <c r="F18" s="10"/>
      <c r="G18" s="17"/>
      <c r="H18" s="10"/>
      <c r="I18" s="10"/>
      <c r="J18" s="10"/>
    </row>
    <row r="19" spans="1:10" ht="18.75" x14ac:dyDescent="0.3">
      <c r="A19" s="10"/>
      <c r="B19" s="10"/>
      <c r="C19" s="134" t="s">
        <v>204</v>
      </c>
      <c r="D19" s="134"/>
      <c r="E19" s="134"/>
      <c r="F19" s="10"/>
      <c r="G19" s="42">
        <f>SUM(G5:G18)</f>
        <v>10931950</v>
      </c>
      <c r="H19" s="10"/>
      <c r="I19" s="10"/>
      <c r="J19" s="10"/>
    </row>
    <row r="20" spans="1:10" ht="18.75" x14ac:dyDescent="0.3">
      <c r="A20" s="10"/>
      <c r="B20" s="10"/>
      <c r="C20" s="134"/>
      <c r="D20" s="134"/>
      <c r="E20" s="134"/>
      <c r="F20" s="10"/>
      <c r="G20" s="10"/>
      <c r="H20" s="10"/>
      <c r="I20" s="10"/>
      <c r="J20" s="10"/>
    </row>
    <row r="22" spans="1:10" ht="18.75" x14ac:dyDescent="0.3">
      <c r="A22" s="27" t="s">
        <v>33</v>
      </c>
      <c r="B22" s="28" t="s">
        <v>1</v>
      </c>
      <c r="C22" s="28" t="s">
        <v>34</v>
      </c>
      <c r="D22" s="28" t="s">
        <v>12</v>
      </c>
      <c r="E22" s="28" t="s">
        <v>4</v>
      </c>
      <c r="F22" s="28" t="s">
        <v>35</v>
      </c>
      <c r="G22" s="28" t="s">
        <v>36</v>
      </c>
      <c r="H22" s="28" t="s">
        <v>39</v>
      </c>
      <c r="I22" s="28" t="s">
        <v>37</v>
      </c>
      <c r="J22" s="29" t="s">
        <v>38</v>
      </c>
    </row>
    <row r="23" spans="1:10" ht="18.75" x14ac:dyDescent="0.3">
      <c r="A23" s="44">
        <v>3</v>
      </c>
      <c r="B23" s="6" t="s">
        <v>139</v>
      </c>
      <c r="C23" s="6" t="s">
        <v>168</v>
      </c>
      <c r="D23" s="44">
        <v>2016</v>
      </c>
      <c r="E23" s="44">
        <v>900</v>
      </c>
      <c r="F23" s="61" t="s">
        <v>169</v>
      </c>
      <c r="G23" s="43">
        <f t="shared" ref="G23:G29" si="1">D23*E23</f>
        <v>1814400</v>
      </c>
      <c r="H23" s="57">
        <v>46070</v>
      </c>
      <c r="I23" s="33">
        <v>46074</v>
      </c>
      <c r="J23" s="56">
        <v>46089</v>
      </c>
    </row>
    <row r="24" spans="1:10" ht="18.75" x14ac:dyDescent="0.3">
      <c r="A24" s="44">
        <v>1708</v>
      </c>
      <c r="B24" s="6" t="s">
        <v>19</v>
      </c>
      <c r="C24" s="6" t="s">
        <v>170</v>
      </c>
      <c r="D24" s="44">
        <v>1735</v>
      </c>
      <c r="E24" s="44">
        <v>900</v>
      </c>
      <c r="F24" s="44">
        <v>6</v>
      </c>
      <c r="G24" s="43">
        <f t="shared" si="1"/>
        <v>1561500</v>
      </c>
      <c r="H24" s="57">
        <v>46071</v>
      </c>
      <c r="I24" s="33">
        <v>46077</v>
      </c>
      <c r="J24" s="56">
        <v>46092</v>
      </c>
    </row>
    <row r="25" spans="1:10" ht="18.75" x14ac:dyDescent="0.3">
      <c r="A25" s="44">
        <v>1709</v>
      </c>
      <c r="B25" s="6" t="s">
        <v>19</v>
      </c>
      <c r="C25" s="6" t="s">
        <v>170</v>
      </c>
      <c r="D25" s="44">
        <v>1735</v>
      </c>
      <c r="E25" s="44">
        <v>900</v>
      </c>
      <c r="F25" s="44">
        <v>8</v>
      </c>
      <c r="G25" s="43">
        <f t="shared" si="1"/>
        <v>1561500</v>
      </c>
      <c r="H25" s="57">
        <v>42418</v>
      </c>
      <c r="I25" s="33">
        <v>46079</v>
      </c>
      <c r="J25" s="56">
        <v>46094</v>
      </c>
    </row>
    <row r="26" spans="1:10" ht="18.75" x14ac:dyDescent="0.3">
      <c r="A26" s="44" t="s">
        <v>188</v>
      </c>
      <c r="B26" s="6" t="s">
        <v>97</v>
      </c>
      <c r="C26" s="6" t="s">
        <v>189</v>
      </c>
      <c r="D26" s="44">
        <v>562</v>
      </c>
      <c r="E26" s="44">
        <v>900</v>
      </c>
      <c r="F26" s="44"/>
      <c r="G26" s="43">
        <v>505800</v>
      </c>
      <c r="H26" s="57">
        <v>46072</v>
      </c>
      <c r="I26" s="33">
        <v>46079</v>
      </c>
      <c r="J26" s="56">
        <v>46094</v>
      </c>
    </row>
    <row r="27" spans="1:10" ht="18.75" x14ac:dyDescent="0.3">
      <c r="A27" s="44">
        <v>1724</v>
      </c>
      <c r="B27" s="6" t="s">
        <v>19</v>
      </c>
      <c r="C27" s="6" t="s">
        <v>228</v>
      </c>
      <c r="D27" s="44">
        <v>3348</v>
      </c>
      <c r="E27" s="44">
        <v>900</v>
      </c>
      <c r="F27" s="44"/>
      <c r="G27" s="43">
        <f t="shared" si="1"/>
        <v>3013200</v>
      </c>
      <c r="H27" s="57">
        <v>46077</v>
      </c>
      <c r="I27" s="33">
        <v>46081</v>
      </c>
      <c r="J27" s="56">
        <v>46096</v>
      </c>
    </row>
    <row r="28" spans="1:10" ht="18.75" x14ac:dyDescent="0.3">
      <c r="A28" s="44">
        <v>4</v>
      </c>
      <c r="B28" s="6" t="s">
        <v>139</v>
      </c>
      <c r="C28" s="6" t="s">
        <v>278</v>
      </c>
      <c r="D28" s="44">
        <v>2016</v>
      </c>
      <c r="E28" s="44">
        <v>900</v>
      </c>
      <c r="F28" s="44" t="s">
        <v>151</v>
      </c>
      <c r="G28" s="43">
        <f t="shared" si="1"/>
        <v>1814400</v>
      </c>
      <c r="H28" s="57">
        <v>46077</v>
      </c>
      <c r="I28" s="33">
        <v>46084</v>
      </c>
      <c r="J28" s="62">
        <v>46102</v>
      </c>
    </row>
    <row r="29" spans="1:10" ht="18.75" x14ac:dyDescent="0.3">
      <c r="A29" s="44"/>
      <c r="B29" s="6"/>
      <c r="C29" s="6"/>
      <c r="D29" s="44"/>
      <c r="E29" s="44"/>
      <c r="F29" s="44"/>
      <c r="G29" s="32">
        <f t="shared" si="1"/>
        <v>0</v>
      </c>
      <c r="H29" s="57"/>
      <c r="I29" s="33"/>
      <c r="J29" s="34"/>
    </row>
    <row r="30" spans="1:10" ht="18.75" x14ac:dyDescent="0.3">
      <c r="A30" s="44"/>
      <c r="B30" s="6"/>
      <c r="C30" s="6"/>
      <c r="D30" s="44"/>
      <c r="E30" s="44"/>
      <c r="F30" s="44"/>
      <c r="G30" s="32">
        <f t="shared" ref="G30" si="2">D30*E30</f>
        <v>0</v>
      </c>
      <c r="H30" s="57"/>
      <c r="I30" s="33"/>
      <c r="J30" s="34"/>
    </row>
    <row r="31" spans="1:10" ht="18.75" x14ac:dyDescent="0.3">
      <c r="A31" s="10"/>
      <c r="B31" s="10"/>
      <c r="C31" s="10"/>
      <c r="D31" s="10"/>
      <c r="E31" s="10"/>
      <c r="F31" s="10"/>
      <c r="G31" s="17"/>
      <c r="H31" s="10"/>
      <c r="I31" s="10"/>
      <c r="J31" s="10"/>
    </row>
    <row r="32" spans="1:10" ht="18.75" x14ac:dyDescent="0.3">
      <c r="A32" s="10"/>
      <c r="B32" s="10"/>
      <c r="C32" s="10"/>
      <c r="D32" s="10"/>
      <c r="E32" s="10"/>
      <c r="F32" s="10"/>
      <c r="G32" s="65">
        <f>SUM(G23:G31)</f>
        <v>10270800</v>
      </c>
      <c r="H32" s="10"/>
      <c r="I32" s="10"/>
      <c r="J32" s="10"/>
    </row>
    <row r="33" spans="1:10" ht="18.75" x14ac:dyDescent="0.3">
      <c r="A33" s="10"/>
      <c r="B33" s="10"/>
      <c r="C33" s="134" t="s">
        <v>308</v>
      </c>
      <c r="D33" s="134"/>
      <c r="E33" s="134"/>
      <c r="F33" s="10"/>
      <c r="G33" s="10"/>
      <c r="H33" s="10"/>
      <c r="I33" s="10"/>
      <c r="J33" s="10"/>
    </row>
    <row r="34" spans="1:10" ht="18.75" x14ac:dyDescent="0.3">
      <c r="A34" s="10"/>
      <c r="B34" s="10"/>
      <c r="C34" s="134"/>
      <c r="D34" s="134"/>
      <c r="E34" s="134"/>
      <c r="F34" s="10"/>
      <c r="G34" s="10"/>
      <c r="H34" s="10"/>
      <c r="I34" s="10"/>
      <c r="J34" s="10"/>
    </row>
    <row r="37" spans="1:10" ht="18.75" x14ac:dyDescent="0.3">
      <c r="A37" s="27" t="s">
        <v>33</v>
      </c>
      <c r="B37" s="28" t="s">
        <v>1</v>
      </c>
      <c r="C37" s="28" t="s">
        <v>34</v>
      </c>
      <c r="D37" s="28" t="s">
        <v>12</v>
      </c>
      <c r="E37" s="28" t="s">
        <v>4</v>
      </c>
      <c r="F37" s="28" t="s">
        <v>35</v>
      </c>
      <c r="G37" s="28" t="s">
        <v>36</v>
      </c>
      <c r="H37" s="28" t="s">
        <v>39</v>
      </c>
      <c r="I37" s="28" t="s">
        <v>37</v>
      </c>
      <c r="J37" s="29" t="s">
        <v>38</v>
      </c>
    </row>
    <row r="38" spans="1:10" ht="18.75" x14ac:dyDescent="0.3">
      <c r="A38" s="30"/>
      <c r="B38" s="3"/>
      <c r="C38" s="3"/>
      <c r="D38" s="30"/>
      <c r="E38" s="30"/>
      <c r="F38" s="30"/>
      <c r="G38" s="43">
        <f t="shared" ref="G38:G48" si="3">D38*E38</f>
        <v>0</v>
      </c>
      <c r="H38" s="33"/>
      <c r="I38" s="33"/>
      <c r="J38" s="34"/>
    </row>
    <row r="39" spans="1:10" ht="18.75" x14ac:dyDescent="0.3">
      <c r="A39" s="30">
        <v>1751</v>
      </c>
      <c r="B39" s="3" t="s">
        <v>19</v>
      </c>
      <c r="C39" s="3" t="s">
        <v>71</v>
      </c>
      <c r="D39" s="30">
        <v>1388</v>
      </c>
      <c r="E39" s="30">
        <v>900</v>
      </c>
      <c r="F39" s="30">
        <v>10</v>
      </c>
      <c r="G39" s="43">
        <f t="shared" si="3"/>
        <v>1249200</v>
      </c>
      <c r="H39" s="33">
        <v>46084</v>
      </c>
      <c r="I39" s="33">
        <v>46090</v>
      </c>
      <c r="J39" s="34">
        <v>46105</v>
      </c>
    </row>
    <row r="40" spans="1:10" ht="18.75" x14ac:dyDescent="0.3">
      <c r="A40" s="30">
        <v>5</v>
      </c>
      <c r="B40" s="3" t="s">
        <v>54</v>
      </c>
      <c r="C40" s="3" t="s">
        <v>152</v>
      </c>
      <c r="D40" s="30">
        <v>672</v>
      </c>
      <c r="E40" s="30">
        <v>850</v>
      </c>
      <c r="F40" s="30">
        <v>14</v>
      </c>
      <c r="G40" s="43">
        <f t="shared" si="3"/>
        <v>571200</v>
      </c>
      <c r="H40" s="33">
        <v>46086</v>
      </c>
      <c r="I40" s="33">
        <v>46088</v>
      </c>
      <c r="J40" s="34">
        <v>46074</v>
      </c>
    </row>
    <row r="41" spans="1:10" ht="18.75" x14ac:dyDescent="0.3">
      <c r="A41" s="30">
        <v>1752</v>
      </c>
      <c r="B41" s="3" t="s">
        <v>19</v>
      </c>
      <c r="C41" s="3" t="s">
        <v>293</v>
      </c>
      <c r="D41" s="30">
        <v>3498</v>
      </c>
      <c r="E41" s="30">
        <v>900</v>
      </c>
      <c r="F41" s="30" t="s">
        <v>286</v>
      </c>
      <c r="G41" s="43">
        <f t="shared" si="3"/>
        <v>3148200</v>
      </c>
      <c r="H41" s="33">
        <v>46086</v>
      </c>
      <c r="I41" s="33">
        <v>46090</v>
      </c>
      <c r="J41" s="34">
        <v>46105</v>
      </c>
    </row>
    <row r="42" spans="1:10" ht="18.75" x14ac:dyDescent="0.3">
      <c r="A42" s="30">
        <v>1763</v>
      </c>
      <c r="B42" s="3" t="s">
        <v>19</v>
      </c>
      <c r="C42" s="3" t="s">
        <v>71</v>
      </c>
      <c r="D42" s="30">
        <v>2680</v>
      </c>
      <c r="E42" s="30">
        <v>900</v>
      </c>
      <c r="F42" s="30" t="s">
        <v>315</v>
      </c>
      <c r="G42" s="43">
        <f t="shared" si="3"/>
        <v>2412000</v>
      </c>
      <c r="H42" s="33">
        <v>46090</v>
      </c>
      <c r="I42" s="33">
        <v>46097</v>
      </c>
      <c r="J42" s="34">
        <v>46112</v>
      </c>
    </row>
    <row r="43" spans="1:10" ht="18.75" x14ac:dyDescent="0.3">
      <c r="A43" s="30">
        <v>6</v>
      </c>
      <c r="B43" s="3" t="s">
        <v>54</v>
      </c>
      <c r="C43" s="3" t="s">
        <v>322</v>
      </c>
      <c r="D43" s="30">
        <v>1344</v>
      </c>
      <c r="E43" s="30">
        <v>900</v>
      </c>
      <c r="F43" s="30" t="s">
        <v>315</v>
      </c>
      <c r="G43" s="43">
        <f t="shared" si="3"/>
        <v>1209600</v>
      </c>
      <c r="H43" s="33">
        <v>46091</v>
      </c>
      <c r="I43" s="33">
        <v>46094</v>
      </c>
      <c r="J43" s="34">
        <v>46109</v>
      </c>
    </row>
    <row r="44" spans="1:10" ht="18.75" x14ac:dyDescent="0.3">
      <c r="A44" s="30" t="s">
        <v>383</v>
      </c>
      <c r="B44" s="3" t="s">
        <v>97</v>
      </c>
      <c r="C44" s="3" t="s">
        <v>340</v>
      </c>
      <c r="D44" s="30">
        <v>700</v>
      </c>
      <c r="E44" s="30">
        <v>900</v>
      </c>
      <c r="F44" s="30"/>
      <c r="G44" s="43">
        <f t="shared" si="3"/>
        <v>630000</v>
      </c>
      <c r="H44" s="33">
        <v>46091</v>
      </c>
      <c r="I44" s="33">
        <v>46097</v>
      </c>
      <c r="J44" s="34">
        <v>46112</v>
      </c>
    </row>
    <row r="45" spans="1:10" ht="18.75" x14ac:dyDescent="0.3">
      <c r="A45" s="44">
        <v>1773</v>
      </c>
      <c r="B45" s="6" t="s">
        <v>19</v>
      </c>
      <c r="C45" s="6" t="s">
        <v>340</v>
      </c>
      <c r="D45" s="44">
        <v>1620</v>
      </c>
      <c r="E45" s="44">
        <v>900</v>
      </c>
      <c r="F45" s="61" t="s">
        <v>362</v>
      </c>
      <c r="G45" s="43">
        <f t="shared" si="3"/>
        <v>1458000</v>
      </c>
      <c r="H45" s="57">
        <v>46093</v>
      </c>
      <c r="I45" s="33">
        <v>46097</v>
      </c>
      <c r="J45" s="34">
        <v>46112</v>
      </c>
    </row>
    <row r="46" spans="1:10" ht="18.75" x14ac:dyDescent="0.3">
      <c r="A46" s="44">
        <v>1783</v>
      </c>
      <c r="B46" s="6" t="s">
        <v>19</v>
      </c>
      <c r="C46" s="6" t="s">
        <v>228</v>
      </c>
      <c r="D46" s="44">
        <v>1744</v>
      </c>
      <c r="E46" s="44">
        <v>900</v>
      </c>
      <c r="F46" s="61" t="s">
        <v>381</v>
      </c>
      <c r="G46" s="43">
        <f t="shared" si="3"/>
        <v>1569600</v>
      </c>
      <c r="H46" s="57">
        <v>46094</v>
      </c>
      <c r="I46" s="33">
        <v>46098</v>
      </c>
      <c r="J46" s="34">
        <v>46113</v>
      </c>
    </row>
    <row r="47" spans="1:10" ht="18.75" x14ac:dyDescent="0.3">
      <c r="A47" s="44"/>
      <c r="B47" s="6"/>
      <c r="C47" s="6"/>
      <c r="D47" s="44"/>
      <c r="E47" s="44"/>
      <c r="F47" s="61"/>
      <c r="G47" s="32">
        <f t="shared" si="3"/>
        <v>0</v>
      </c>
      <c r="H47" s="57"/>
      <c r="I47" s="33"/>
      <c r="J47" s="34"/>
    </row>
    <row r="48" spans="1:10" ht="18.75" x14ac:dyDescent="0.3">
      <c r="A48" s="44"/>
      <c r="B48" s="6"/>
      <c r="C48" s="6"/>
      <c r="D48" s="44"/>
      <c r="E48" s="44"/>
      <c r="F48" s="44"/>
      <c r="G48" s="32">
        <f t="shared" si="3"/>
        <v>0</v>
      </c>
      <c r="H48" s="57"/>
      <c r="I48" s="33"/>
      <c r="J48" s="34"/>
    </row>
    <row r="50" spans="1:10" ht="18" customHeight="1" x14ac:dyDescent="0.3">
      <c r="G50" s="64">
        <f>G39+G40+G41+G42+G43+G44+G45+G46</f>
        <v>12247800</v>
      </c>
    </row>
    <row r="53" spans="1:10" ht="18.75" x14ac:dyDescent="0.3">
      <c r="A53" s="10"/>
      <c r="B53" s="10"/>
      <c r="C53" s="134" t="s">
        <v>382</v>
      </c>
      <c r="D53" s="134"/>
      <c r="E53" s="134"/>
      <c r="F53" s="10"/>
      <c r="G53" s="10"/>
      <c r="H53" s="10"/>
      <c r="I53" s="10"/>
      <c r="J53" s="10"/>
    </row>
    <row r="54" spans="1:10" ht="18.75" x14ac:dyDescent="0.3">
      <c r="A54" s="10"/>
      <c r="B54" s="10"/>
      <c r="C54" s="134"/>
      <c r="D54" s="134"/>
      <c r="E54" s="134"/>
      <c r="F54" s="10"/>
      <c r="G54" s="10"/>
      <c r="H54" s="10"/>
      <c r="I54" s="10"/>
      <c r="J54" s="10"/>
    </row>
    <row r="57" spans="1:10" ht="18.75" x14ac:dyDescent="0.3">
      <c r="A57" s="27" t="s">
        <v>33</v>
      </c>
      <c r="B57" s="28" t="s">
        <v>1</v>
      </c>
      <c r="C57" s="28" t="s">
        <v>34</v>
      </c>
      <c r="D57" s="28" t="s">
        <v>12</v>
      </c>
      <c r="E57" s="28" t="s">
        <v>4</v>
      </c>
      <c r="F57" s="28" t="s">
        <v>35</v>
      </c>
      <c r="G57" s="28" t="s">
        <v>36</v>
      </c>
      <c r="H57" s="28" t="s">
        <v>39</v>
      </c>
      <c r="I57" s="28" t="s">
        <v>37</v>
      </c>
      <c r="J57" s="29" t="s">
        <v>38</v>
      </c>
    </row>
    <row r="58" spans="1:10" ht="18.75" x14ac:dyDescent="0.3">
      <c r="A58" s="44">
        <v>5</v>
      </c>
      <c r="B58" s="6" t="s">
        <v>97</v>
      </c>
      <c r="C58" s="6" t="s">
        <v>442</v>
      </c>
      <c r="D58" s="44">
        <v>724</v>
      </c>
      <c r="E58" s="44">
        <v>800</v>
      </c>
      <c r="F58" s="44">
        <v>1</v>
      </c>
      <c r="G58" s="43"/>
      <c r="H58" s="57">
        <v>46093</v>
      </c>
      <c r="I58" s="33">
        <v>46101</v>
      </c>
      <c r="J58" s="34">
        <v>46116</v>
      </c>
    </row>
    <row r="59" spans="1:10" ht="18.75" x14ac:dyDescent="0.3">
      <c r="A59" s="44">
        <v>7</v>
      </c>
      <c r="B59" s="6" t="s">
        <v>54</v>
      </c>
      <c r="C59" s="6" t="s">
        <v>402</v>
      </c>
      <c r="D59" s="44">
        <v>1344</v>
      </c>
      <c r="E59" s="44">
        <v>900</v>
      </c>
      <c r="F59" s="44" t="s">
        <v>445</v>
      </c>
      <c r="G59" s="43"/>
      <c r="H59" s="57">
        <v>46098</v>
      </c>
      <c r="I59" s="33">
        <v>46133</v>
      </c>
      <c r="J59" s="34">
        <v>46116</v>
      </c>
    </row>
    <row r="60" spans="1:10" ht="18.75" x14ac:dyDescent="0.3">
      <c r="A60" s="44">
        <v>6</v>
      </c>
      <c r="B60" s="6" t="s">
        <v>97</v>
      </c>
      <c r="C60" s="6" t="s">
        <v>441</v>
      </c>
      <c r="D60" s="44">
        <v>1321</v>
      </c>
      <c r="E60" s="44">
        <v>800</v>
      </c>
      <c r="F60" s="44">
        <v>1</v>
      </c>
      <c r="G60" s="43"/>
      <c r="H60" s="57">
        <v>12</v>
      </c>
      <c r="I60" s="33">
        <v>46101</v>
      </c>
      <c r="J60" s="34">
        <v>46116</v>
      </c>
    </row>
    <row r="61" spans="1:10" ht="18.75" x14ac:dyDescent="0.3">
      <c r="A61" s="44">
        <v>1793</v>
      </c>
      <c r="B61" s="6" t="s">
        <v>19</v>
      </c>
      <c r="C61" s="6" t="s">
        <v>71</v>
      </c>
      <c r="D61" s="44">
        <v>1110</v>
      </c>
      <c r="E61" s="44">
        <v>900</v>
      </c>
      <c r="F61" s="44" t="s">
        <v>444</v>
      </c>
      <c r="G61" s="43">
        <f t="shared" ref="G61:G68" si="4">D61*E61</f>
        <v>999000</v>
      </c>
      <c r="H61" s="57">
        <v>46101</v>
      </c>
      <c r="I61" s="33">
        <v>46105</v>
      </c>
      <c r="J61" s="34">
        <v>46120</v>
      </c>
    </row>
    <row r="62" spans="1:10" ht="18.75" x14ac:dyDescent="0.3">
      <c r="A62" s="44">
        <v>8</v>
      </c>
      <c r="B62" s="6" t="s">
        <v>54</v>
      </c>
      <c r="C62" s="6" t="s">
        <v>71</v>
      </c>
      <c r="D62" s="44">
        <v>1344</v>
      </c>
      <c r="E62" s="44">
        <v>1000</v>
      </c>
      <c r="F62" s="44" t="s">
        <v>443</v>
      </c>
      <c r="G62" s="43">
        <f t="shared" si="4"/>
        <v>1344000</v>
      </c>
      <c r="H62" s="57">
        <v>46102</v>
      </c>
      <c r="I62" s="33">
        <v>46106</v>
      </c>
      <c r="J62" s="34">
        <v>46121</v>
      </c>
    </row>
    <row r="63" spans="1:10" ht="18.75" x14ac:dyDescent="0.3">
      <c r="A63" s="44">
        <v>1802</v>
      </c>
      <c r="B63" s="6" t="s">
        <v>19</v>
      </c>
      <c r="C63" s="6" t="s">
        <v>446</v>
      </c>
      <c r="D63" s="44">
        <v>800</v>
      </c>
      <c r="E63" s="44">
        <v>1100</v>
      </c>
      <c r="F63" s="44" t="s">
        <v>447</v>
      </c>
      <c r="G63" s="43">
        <f t="shared" si="4"/>
        <v>880000</v>
      </c>
      <c r="H63" s="57">
        <v>46101</v>
      </c>
      <c r="I63" s="33">
        <v>46107</v>
      </c>
      <c r="J63" s="34">
        <v>46122</v>
      </c>
    </row>
    <row r="64" spans="1:10" ht="18.75" x14ac:dyDescent="0.3">
      <c r="A64" s="44">
        <v>9</v>
      </c>
      <c r="B64" s="6" t="s">
        <v>485</v>
      </c>
      <c r="C64" s="6" t="s">
        <v>591</v>
      </c>
      <c r="D64" s="44">
        <v>672</v>
      </c>
      <c r="E64" s="44">
        <v>900</v>
      </c>
      <c r="F64" s="44" t="s">
        <v>537</v>
      </c>
      <c r="G64" s="43">
        <f t="shared" si="4"/>
        <v>604800</v>
      </c>
      <c r="H64" s="57">
        <v>46107</v>
      </c>
      <c r="I64" s="33">
        <v>46109</v>
      </c>
      <c r="J64" s="34">
        <v>46124</v>
      </c>
    </row>
    <row r="65" spans="1:10" ht="18.75" x14ac:dyDescent="0.3">
      <c r="A65" s="44">
        <v>1803</v>
      </c>
      <c r="B65" s="6" t="s">
        <v>19</v>
      </c>
      <c r="C65" s="6" t="s">
        <v>340</v>
      </c>
      <c r="D65" s="44">
        <v>2870</v>
      </c>
      <c r="E65" s="44">
        <v>900</v>
      </c>
      <c r="F65" s="61" t="s">
        <v>151</v>
      </c>
      <c r="G65" s="43">
        <f t="shared" si="4"/>
        <v>2583000</v>
      </c>
      <c r="H65" s="57">
        <v>46106</v>
      </c>
      <c r="I65" s="33">
        <v>46112</v>
      </c>
      <c r="J65" s="34">
        <v>46127</v>
      </c>
    </row>
    <row r="66" spans="1:10" ht="18.75" x14ac:dyDescent="0.3">
      <c r="A66" s="44">
        <v>10</v>
      </c>
      <c r="B66" s="6" t="s">
        <v>54</v>
      </c>
      <c r="C66" s="6" t="s">
        <v>536</v>
      </c>
      <c r="D66" s="44">
        <v>672</v>
      </c>
      <c r="E66" s="44">
        <v>900</v>
      </c>
      <c r="F66" s="61" t="s">
        <v>535</v>
      </c>
      <c r="G66" s="43">
        <f t="shared" si="4"/>
        <v>604800</v>
      </c>
      <c r="H66" s="57">
        <v>46108</v>
      </c>
      <c r="I66" s="33">
        <v>46113</v>
      </c>
      <c r="J66" s="34">
        <v>46127</v>
      </c>
    </row>
    <row r="67" spans="1:10" ht="18.75" x14ac:dyDescent="0.3">
      <c r="A67" s="44"/>
      <c r="B67" s="6"/>
      <c r="C67" s="6"/>
      <c r="D67" s="44"/>
      <c r="E67" s="44"/>
      <c r="F67" s="61"/>
      <c r="G67" s="32">
        <f t="shared" si="4"/>
        <v>0</v>
      </c>
      <c r="H67" s="57"/>
      <c r="I67" s="33"/>
      <c r="J67" s="34"/>
    </row>
    <row r="68" spans="1:10" ht="18.75" x14ac:dyDescent="0.3">
      <c r="A68" s="44"/>
      <c r="B68" s="6"/>
      <c r="C68" s="6"/>
      <c r="D68" s="44"/>
      <c r="E68" s="44"/>
      <c r="F68" s="44"/>
      <c r="G68" s="32">
        <f t="shared" si="4"/>
        <v>0</v>
      </c>
      <c r="H68" s="57"/>
      <c r="I68" s="33"/>
      <c r="J68" s="34"/>
    </row>
    <row r="70" spans="1:10" ht="18.75" x14ac:dyDescent="0.3">
      <c r="G70" s="64">
        <f>G58+G59+G60+G61+G62+G63+G64+G65+G68+G66</f>
        <v>7015600</v>
      </c>
    </row>
    <row r="73" spans="1:10" x14ac:dyDescent="0.25">
      <c r="C73" s="134" t="s">
        <v>505</v>
      </c>
      <c r="D73" s="134"/>
      <c r="E73" s="134"/>
    </row>
    <row r="74" spans="1:10" x14ac:dyDescent="0.25">
      <c r="C74" s="134"/>
      <c r="D74" s="134"/>
      <c r="E74" s="134"/>
    </row>
    <row r="75" spans="1:10" ht="18.75" x14ac:dyDescent="0.3">
      <c r="A75" s="27" t="s">
        <v>33</v>
      </c>
      <c r="B75" s="28" t="s">
        <v>1</v>
      </c>
      <c r="C75" s="28" t="s">
        <v>34</v>
      </c>
      <c r="D75" s="28" t="s">
        <v>12</v>
      </c>
      <c r="E75" s="28" t="s">
        <v>4</v>
      </c>
      <c r="F75" s="28" t="s">
        <v>35</v>
      </c>
      <c r="G75" s="28" t="s">
        <v>36</v>
      </c>
      <c r="H75" s="28" t="s">
        <v>39</v>
      </c>
      <c r="I75" s="28" t="s">
        <v>37</v>
      </c>
      <c r="J75" s="29" t="s">
        <v>38</v>
      </c>
    </row>
    <row r="76" spans="1:10" ht="18.75" x14ac:dyDescent="0.3">
      <c r="A76" s="79" t="s">
        <v>571</v>
      </c>
      <c r="B76" s="4" t="s">
        <v>521</v>
      </c>
      <c r="C76" s="4" t="s">
        <v>522</v>
      </c>
      <c r="D76" s="79">
        <v>480</v>
      </c>
      <c r="E76" s="79">
        <v>3000</v>
      </c>
      <c r="F76" s="80" t="s">
        <v>510</v>
      </c>
      <c r="G76" s="81"/>
      <c r="H76" s="82">
        <v>46107</v>
      </c>
      <c r="I76" s="33"/>
      <c r="J76" s="34"/>
    </row>
    <row r="77" spans="1:10" ht="18.75" x14ac:dyDescent="0.3">
      <c r="A77" s="44">
        <v>1811</v>
      </c>
      <c r="B77" s="6" t="s">
        <v>19</v>
      </c>
      <c r="C77" s="6" t="s">
        <v>569</v>
      </c>
      <c r="D77" s="44">
        <v>4248</v>
      </c>
      <c r="E77" s="44">
        <v>1000</v>
      </c>
      <c r="F77" s="61" t="s">
        <v>151</v>
      </c>
      <c r="G77" s="43">
        <f t="shared" ref="G77" si="5">D77*E77</f>
        <v>4248000</v>
      </c>
      <c r="H77" s="57">
        <v>46109</v>
      </c>
      <c r="I77" s="33">
        <v>46130</v>
      </c>
      <c r="J77" s="34">
        <v>46145</v>
      </c>
    </row>
    <row r="78" spans="1:10" ht="18.75" x14ac:dyDescent="0.3">
      <c r="A78" s="44">
        <v>11</v>
      </c>
      <c r="B78" s="6" t="s">
        <v>54</v>
      </c>
      <c r="C78" s="6" t="s">
        <v>572</v>
      </c>
      <c r="D78" s="44">
        <v>672</v>
      </c>
      <c r="E78" s="44">
        <v>1100</v>
      </c>
      <c r="F78" s="44" t="s">
        <v>599</v>
      </c>
      <c r="G78" s="43">
        <f t="shared" ref="G78:G83" si="6">D78*E78</f>
        <v>739200</v>
      </c>
      <c r="H78" s="57">
        <v>46112</v>
      </c>
      <c r="I78" s="33">
        <v>46120</v>
      </c>
      <c r="J78" s="34">
        <v>46135</v>
      </c>
    </row>
    <row r="79" spans="1:10" ht="18.75" x14ac:dyDescent="0.3">
      <c r="A79" s="44">
        <v>11</v>
      </c>
      <c r="B79" s="6" t="s">
        <v>54</v>
      </c>
      <c r="C79" s="6" t="s">
        <v>536</v>
      </c>
      <c r="D79" s="44">
        <v>672</v>
      </c>
      <c r="E79" s="44">
        <v>900</v>
      </c>
      <c r="F79" s="44" t="s">
        <v>599</v>
      </c>
      <c r="G79" s="43">
        <f t="shared" si="6"/>
        <v>604800</v>
      </c>
      <c r="H79" s="57">
        <v>46112</v>
      </c>
      <c r="I79" s="33">
        <v>46120</v>
      </c>
      <c r="J79" s="34">
        <v>46135</v>
      </c>
    </row>
    <row r="80" spans="1:10" ht="18.75" x14ac:dyDescent="0.3">
      <c r="A80" s="44">
        <v>12</v>
      </c>
      <c r="B80" s="6" t="s">
        <v>54</v>
      </c>
      <c r="C80" s="6" t="s">
        <v>598</v>
      </c>
      <c r="D80" s="44">
        <v>1344</v>
      </c>
      <c r="E80" s="44">
        <v>900</v>
      </c>
      <c r="F80" s="78" t="s">
        <v>445</v>
      </c>
      <c r="G80" s="43">
        <f t="shared" si="6"/>
        <v>1209600</v>
      </c>
      <c r="H80" s="57">
        <v>46119</v>
      </c>
      <c r="I80" s="33">
        <v>46122</v>
      </c>
      <c r="J80" s="34">
        <v>46137</v>
      </c>
    </row>
    <row r="81" spans="1:10" ht="18.75" x14ac:dyDescent="0.3">
      <c r="A81" s="44">
        <v>1831</v>
      </c>
      <c r="B81" s="6" t="s">
        <v>19</v>
      </c>
      <c r="C81" s="6" t="s">
        <v>661</v>
      </c>
      <c r="D81" s="44">
        <v>1506</v>
      </c>
      <c r="E81" s="44">
        <v>900</v>
      </c>
      <c r="F81" s="44" t="s">
        <v>620</v>
      </c>
      <c r="G81" s="43">
        <f t="shared" si="6"/>
        <v>1355400</v>
      </c>
      <c r="H81" s="57">
        <v>46120</v>
      </c>
      <c r="I81" s="33">
        <v>46126</v>
      </c>
      <c r="J81" s="34">
        <v>46141</v>
      </c>
    </row>
    <row r="82" spans="1:10" ht="18.75" x14ac:dyDescent="0.3">
      <c r="A82" s="44">
        <v>1844</v>
      </c>
      <c r="B82" s="6" t="s">
        <v>19</v>
      </c>
      <c r="C82" s="6" t="s">
        <v>623</v>
      </c>
      <c r="D82" s="44">
        <v>1920</v>
      </c>
      <c r="E82" s="44">
        <v>900</v>
      </c>
      <c r="F82" s="44" t="s">
        <v>151</v>
      </c>
      <c r="G82" s="43">
        <f t="shared" si="6"/>
        <v>1728000</v>
      </c>
      <c r="H82" s="57">
        <v>46122</v>
      </c>
      <c r="I82" s="158" t="s">
        <v>682</v>
      </c>
      <c r="J82" s="34"/>
    </row>
    <row r="83" spans="1:10" ht="18.75" x14ac:dyDescent="0.3">
      <c r="A83" s="44">
        <v>1845</v>
      </c>
      <c r="B83" s="6" t="s">
        <v>19</v>
      </c>
      <c r="C83" s="6" t="s">
        <v>625</v>
      </c>
      <c r="D83" s="44">
        <v>1920</v>
      </c>
      <c r="E83" s="44">
        <v>900</v>
      </c>
      <c r="F83" s="61" t="s">
        <v>151</v>
      </c>
      <c r="G83" s="43">
        <f t="shared" si="6"/>
        <v>1728000</v>
      </c>
      <c r="H83" s="57">
        <v>46122</v>
      </c>
      <c r="I83" s="159"/>
      <c r="J83" s="34"/>
    </row>
    <row r="84" spans="1:10" ht="18.75" x14ac:dyDescent="0.3">
      <c r="A84" s="44"/>
      <c r="B84" s="6"/>
      <c r="C84" s="6"/>
      <c r="D84" s="44"/>
      <c r="E84" s="44"/>
      <c r="F84" s="61"/>
      <c r="G84" s="32"/>
      <c r="H84" s="57"/>
      <c r="I84" s="33"/>
      <c r="J84" s="34"/>
    </row>
    <row r="85" spans="1:10" ht="18.75" x14ac:dyDescent="0.3">
      <c r="A85" s="44"/>
      <c r="B85" s="6"/>
      <c r="C85" s="6"/>
      <c r="D85" s="44"/>
      <c r="E85" s="44"/>
      <c r="F85" s="61"/>
      <c r="G85" s="32"/>
      <c r="H85" s="57"/>
      <c r="I85" s="33"/>
      <c r="J85" s="34"/>
    </row>
    <row r="86" spans="1:10" ht="18.75" x14ac:dyDescent="0.3">
      <c r="A86" s="44"/>
      <c r="B86" s="6"/>
      <c r="C86" s="6"/>
      <c r="D86" s="44"/>
      <c r="E86" s="44"/>
      <c r="F86" s="44"/>
      <c r="G86" s="32"/>
      <c r="H86" s="57"/>
      <c r="I86" s="33"/>
      <c r="J86" s="34"/>
    </row>
    <row r="88" spans="1:10" ht="18.75" x14ac:dyDescent="0.3">
      <c r="G88" s="64">
        <f>G76+G77+G78+G79+G80+G81+G82+G83+G86</f>
        <v>11613000</v>
      </c>
    </row>
    <row r="89" spans="1:10" x14ac:dyDescent="0.25">
      <c r="B89" s="134" t="s">
        <v>686</v>
      </c>
      <c r="C89" s="134"/>
      <c r="D89" s="134"/>
    </row>
    <row r="90" spans="1:10" x14ac:dyDescent="0.25">
      <c r="B90" s="134"/>
      <c r="C90" s="134"/>
      <c r="D90" s="134"/>
    </row>
    <row r="92" spans="1:10" ht="18.75" x14ac:dyDescent="0.3">
      <c r="A92" s="27" t="s">
        <v>33</v>
      </c>
      <c r="B92" s="28" t="s">
        <v>1</v>
      </c>
      <c r="C92" s="28" t="s">
        <v>34</v>
      </c>
      <c r="D92" s="28" t="s">
        <v>12</v>
      </c>
      <c r="E92" s="28" t="s">
        <v>4</v>
      </c>
      <c r="F92" s="28" t="s">
        <v>35</v>
      </c>
      <c r="G92" s="28" t="s">
        <v>36</v>
      </c>
      <c r="H92" s="28" t="s">
        <v>39</v>
      </c>
      <c r="I92" s="28" t="s">
        <v>37</v>
      </c>
      <c r="J92" s="29" t="s">
        <v>38</v>
      </c>
    </row>
    <row r="93" spans="1:10" ht="18.75" x14ac:dyDescent="0.3">
      <c r="A93" s="44">
        <v>1842</v>
      </c>
      <c r="B93" s="6" t="s">
        <v>19</v>
      </c>
      <c r="C93" s="6" t="s">
        <v>624</v>
      </c>
      <c r="D93" s="44">
        <v>1404</v>
      </c>
      <c r="E93" s="44">
        <v>900</v>
      </c>
      <c r="F93" s="61" t="s">
        <v>151</v>
      </c>
      <c r="G93" s="43">
        <f t="shared" ref="G93:G95" si="7">D93*E93</f>
        <v>1263600</v>
      </c>
      <c r="H93" s="57">
        <v>46122</v>
      </c>
      <c r="I93" s="33">
        <v>46139</v>
      </c>
      <c r="J93" s="34">
        <v>46154</v>
      </c>
    </row>
    <row r="94" spans="1:10" ht="18.75" x14ac:dyDescent="0.3">
      <c r="A94" s="44">
        <v>1843</v>
      </c>
      <c r="B94" s="6" t="s">
        <v>19</v>
      </c>
      <c r="C94" s="6" t="s">
        <v>625</v>
      </c>
      <c r="D94" s="44">
        <v>1404</v>
      </c>
      <c r="E94" s="44">
        <v>900</v>
      </c>
      <c r="F94" s="61" t="s">
        <v>151</v>
      </c>
      <c r="G94" s="43">
        <f t="shared" si="7"/>
        <v>1263600</v>
      </c>
      <c r="H94" s="57">
        <v>46122</v>
      </c>
      <c r="I94" s="33">
        <v>46139</v>
      </c>
      <c r="J94" s="34">
        <v>46154</v>
      </c>
    </row>
    <row r="95" spans="1:10" ht="18.75" x14ac:dyDescent="0.3">
      <c r="A95" s="44">
        <v>13</v>
      </c>
      <c r="B95" s="6" t="s">
        <v>54</v>
      </c>
      <c r="C95" s="6" t="s">
        <v>626</v>
      </c>
      <c r="D95" s="44">
        <v>3120</v>
      </c>
      <c r="E95" s="44">
        <v>900</v>
      </c>
      <c r="F95" s="44" t="s">
        <v>627</v>
      </c>
      <c r="G95" s="43">
        <f t="shared" si="7"/>
        <v>2808000</v>
      </c>
      <c r="H95" s="57">
        <v>46125</v>
      </c>
      <c r="I95" s="33">
        <v>46135</v>
      </c>
      <c r="J95" s="34">
        <v>46150</v>
      </c>
    </row>
    <row r="96" spans="1:10" ht="18.75" x14ac:dyDescent="0.3">
      <c r="A96" s="44">
        <v>1866</v>
      </c>
      <c r="B96" s="6" t="s">
        <v>19</v>
      </c>
      <c r="C96" s="6" t="s">
        <v>695</v>
      </c>
      <c r="D96" s="44">
        <v>2196</v>
      </c>
      <c r="E96" s="44">
        <v>900</v>
      </c>
      <c r="F96" s="44" t="s">
        <v>151</v>
      </c>
      <c r="G96" s="43">
        <f>D96*E96</f>
        <v>1976400</v>
      </c>
      <c r="H96" s="57">
        <v>46134</v>
      </c>
      <c r="I96" s="33">
        <v>46140</v>
      </c>
      <c r="J96" s="34">
        <v>46155</v>
      </c>
    </row>
    <row r="97" spans="1:10" ht="18.75" x14ac:dyDescent="0.3">
      <c r="A97" s="44">
        <v>1</v>
      </c>
      <c r="B97" s="6" t="s">
        <v>54</v>
      </c>
      <c r="C97" s="6" t="s">
        <v>707</v>
      </c>
      <c r="D97" s="44">
        <v>672</v>
      </c>
      <c r="E97" s="44">
        <v>900</v>
      </c>
      <c r="F97" s="44" t="s">
        <v>711</v>
      </c>
      <c r="G97" s="43">
        <f t="shared" ref="G97:G104" si="8">D97*E97</f>
        <v>604800</v>
      </c>
      <c r="H97" s="57">
        <v>46133</v>
      </c>
      <c r="I97" s="33">
        <v>46136</v>
      </c>
      <c r="J97" s="34">
        <v>46151</v>
      </c>
    </row>
    <row r="98" spans="1:10" ht="18.75" x14ac:dyDescent="0.3">
      <c r="A98" s="44" t="s">
        <v>703</v>
      </c>
      <c r="B98" s="6" t="s">
        <v>704</v>
      </c>
      <c r="C98" s="6" t="s">
        <v>164</v>
      </c>
      <c r="D98" s="44">
        <v>1500</v>
      </c>
      <c r="E98" s="44">
        <v>900</v>
      </c>
      <c r="F98" s="44" t="s">
        <v>151</v>
      </c>
      <c r="G98" s="91">
        <f t="shared" si="8"/>
        <v>1350000</v>
      </c>
      <c r="H98" s="57">
        <v>46134</v>
      </c>
      <c r="I98" s="33">
        <v>46144</v>
      </c>
      <c r="J98" s="34">
        <v>46160</v>
      </c>
    </row>
    <row r="99" spans="1:10" ht="18.75" x14ac:dyDescent="0.3">
      <c r="A99" s="44">
        <v>14</v>
      </c>
      <c r="B99" s="6" t="s">
        <v>54</v>
      </c>
      <c r="C99" s="6" t="s">
        <v>706</v>
      </c>
      <c r="D99" s="44">
        <v>1408</v>
      </c>
      <c r="E99" s="44">
        <v>900</v>
      </c>
      <c r="F99" s="44" t="s">
        <v>444</v>
      </c>
      <c r="G99" s="43">
        <f t="shared" si="8"/>
        <v>1267200</v>
      </c>
      <c r="H99" s="57">
        <v>46137</v>
      </c>
      <c r="I99" s="33">
        <v>46141</v>
      </c>
      <c r="J99" s="92">
        <v>46126</v>
      </c>
    </row>
    <row r="100" spans="1:10" ht="18.75" x14ac:dyDescent="0.3">
      <c r="A100" s="44">
        <v>1880</v>
      </c>
      <c r="B100" s="6" t="s">
        <v>19</v>
      </c>
      <c r="C100" s="6" t="s">
        <v>707</v>
      </c>
      <c r="D100" s="44">
        <v>1164</v>
      </c>
      <c r="E100" s="44">
        <v>900</v>
      </c>
      <c r="F100" s="89" t="s">
        <v>708</v>
      </c>
      <c r="G100" s="43">
        <f t="shared" si="8"/>
        <v>1047600</v>
      </c>
      <c r="H100" s="57">
        <v>46141</v>
      </c>
      <c r="I100" s="33">
        <v>46146</v>
      </c>
      <c r="J100" s="34">
        <v>46160</v>
      </c>
    </row>
    <row r="101" spans="1:10" ht="18.75" x14ac:dyDescent="0.3">
      <c r="A101" s="44">
        <v>1884</v>
      </c>
      <c r="B101" s="6" t="s">
        <v>19</v>
      </c>
      <c r="C101" s="6" t="s">
        <v>707</v>
      </c>
      <c r="D101" s="44">
        <v>1488</v>
      </c>
      <c r="E101" s="44">
        <v>900</v>
      </c>
      <c r="F101" s="61" t="s">
        <v>709</v>
      </c>
      <c r="G101" s="43">
        <f t="shared" si="8"/>
        <v>1339200</v>
      </c>
      <c r="H101" s="57">
        <v>46142</v>
      </c>
      <c r="I101" s="33">
        <v>46147</v>
      </c>
      <c r="J101" s="34">
        <v>46161</v>
      </c>
    </row>
    <row r="102" spans="1:10" ht="18.75" x14ac:dyDescent="0.3">
      <c r="A102" s="44" t="s">
        <v>710</v>
      </c>
      <c r="B102" s="6" t="s">
        <v>97</v>
      </c>
      <c r="C102" s="6" t="s">
        <v>340</v>
      </c>
      <c r="D102" s="44">
        <v>360</v>
      </c>
      <c r="E102" s="44">
        <v>900</v>
      </c>
      <c r="F102" s="61" t="s">
        <v>711</v>
      </c>
      <c r="G102" s="43">
        <f t="shared" si="8"/>
        <v>324000</v>
      </c>
      <c r="H102" s="57">
        <v>46141</v>
      </c>
      <c r="I102" s="33">
        <v>46144</v>
      </c>
      <c r="J102" s="34">
        <v>46158</v>
      </c>
    </row>
    <row r="103" spans="1:10" ht="18.75" x14ac:dyDescent="0.3">
      <c r="A103" s="44"/>
      <c r="B103" s="6"/>
      <c r="C103" s="6"/>
      <c r="D103" s="44"/>
      <c r="E103" s="44"/>
      <c r="F103" s="61"/>
      <c r="G103" s="32">
        <f t="shared" si="8"/>
        <v>0</v>
      </c>
      <c r="H103" s="57"/>
      <c r="I103" s="33"/>
      <c r="J103" s="34"/>
    </row>
    <row r="104" spans="1:10" ht="18.75" x14ac:dyDescent="0.3">
      <c r="A104" s="44"/>
      <c r="B104" s="6"/>
      <c r="C104" s="6"/>
      <c r="D104" s="44"/>
      <c r="E104" s="44"/>
      <c r="F104" s="44"/>
      <c r="G104" s="32">
        <f t="shared" si="8"/>
        <v>0</v>
      </c>
      <c r="H104" s="57"/>
      <c r="I104" s="33"/>
      <c r="J104" s="34"/>
    </row>
    <row r="106" spans="1:10" ht="18.75" x14ac:dyDescent="0.3">
      <c r="G106" s="64">
        <f>G93+G94+G95+G96+G98+G99+G100+G101+G104</f>
        <v>12315600</v>
      </c>
    </row>
    <row r="107" spans="1:10" x14ac:dyDescent="0.25">
      <c r="B107" s="134" t="s">
        <v>712</v>
      </c>
      <c r="C107" s="134"/>
      <c r="D107" s="134"/>
    </row>
    <row r="108" spans="1:10" x14ac:dyDescent="0.25">
      <c r="B108" s="134"/>
      <c r="C108" s="134"/>
      <c r="D108" s="134"/>
    </row>
    <row r="109" spans="1:10" ht="18.75" x14ac:dyDescent="0.3">
      <c r="A109" s="27" t="s">
        <v>33</v>
      </c>
      <c r="B109" s="28" t="s">
        <v>1</v>
      </c>
      <c r="C109" s="28" t="s">
        <v>34</v>
      </c>
      <c r="D109" s="28" t="s">
        <v>12</v>
      </c>
      <c r="E109" s="28" t="s">
        <v>4</v>
      </c>
      <c r="F109" s="28" t="s">
        <v>35</v>
      </c>
      <c r="G109" s="28" t="s">
        <v>36</v>
      </c>
      <c r="H109" s="28" t="s">
        <v>39</v>
      </c>
      <c r="I109" s="28" t="s">
        <v>37</v>
      </c>
      <c r="J109" s="29" t="s">
        <v>38</v>
      </c>
    </row>
    <row r="110" spans="1:10" ht="18.75" x14ac:dyDescent="0.3">
      <c r="A110" s="44">
        <v>1887</v>
      </c>
      <c r="B110" s="6" t="s">
        <v>19</v>
      </c>
      <c r="C110" s="6" t="s">
        <v>695</v>
      </c>
      <c r="D110" s="44">
        <v>753</v>
      </c>
      <c r="E110" s="44">
        <v>900</v>
      </c>
      <c r="F110" s="44">
        <v>6</v>
      </c>
      <c r="G110" s="43">
        <f t="shared" ref="G110:G122" si="9">D110*E110</f>
        <v>677700</v>
      </c>
      <c r="H110" s="57">
        <v>46147</v>
      </c>
      <c r="I110" s="33">
        <v>46150</v>
      </c>
      <c r="J110" s="34">
        <v>46165</v>
      </c>
    </row>
    <row r="111" spans="1:10" ht="18.75" x14ac:dyDescent="0.3">
      <c r="A111" s="93">
        <v>1882</v>
      </c>
      <c r="B111" s="6" t="s">
        <v>19</v>
      </c>
      <c r="C111" s="6" t="s">
        <v>713</v>
      </c>
      <c r="D111" s="44">
        <v>883</v>
      </c>
      <c r="E111" s="44">
        <v>1500</v>
      </c>
      <c r="F111" s="44" t="s">
        <v>510</v>
      </c>
      <c r="G111" s="43">
        <f t="shared" si="9"/>
        <v>1324500</v>
      </c>
      <c r="H111" s="57">
        <v>46147</v>
      </c>
      <c r="I111" s="33">
        <v>46153</v>
      </c>
      <c r="J111" s="34">
        <v>46168</v>
      </c>
    </row>
    <row r="112" spans="1:10" ht="18.75" x14ac:dyDescent="0.3">
      <c r="A112" s="44">
        <v>15</v>
      </c>
      <c r="B112" s="6" t="s">
        <v>139</v>
      </c>
      <c r="C112" s="6" t="s">
        <v>714</v>
      </c>
      <c r="D112" s="44">
        <v>2112</v>
      </c>
      <c r="E112" s="44">
        <v>900</v>
      </c>
      <c r="F112" s="44" t="s">
        <v>715</v>
      </c>
      <c r="G112" s="43"/>
      <c r="H112" s="57">
        <v>46144</v>
      </c>
      <c r="I112" s="33">
        <v>46149</v>
      </c>
      <c r="J112" s="34">
        <v>46164</v>
      </c>
    </row>
    <row r="113" spans="1:10" ht="18.75" x14ac:dyDescent="0.3">
      <c r="A113" s="44">
        <v>1893</v>
      </c>
      <c r="B113" s="6" t="s">
        <v>19</v>
      </c>
      <c r="C113" s="6" t="s">
        <v>713</v>
      </c>
      <c r="D113" s="44">
        <v>300</v>
      </c>
      <c r="E113" s="44">
        <v>1500</v>
      </c>
      <c r="F113" s="44" t="s">
        <v>510</v>
      </c>
      <c r="G113" s="43">
        <f t="shared" si="9"/>
        <v>450000</v>
      </c>
      <c r="H113" s="57">
        <v>46149</v>
      </c>
      <c r="I113" s="33">
        <v>46153</v>
      </c>
      <c r="J113" s="34">
        <v>46168</v>
      </c>
    </row>
    <row r="114" spans="1:10" ht="18.75" x14ac:dyDescent="0.3">
      <c r="A114" s="93">
        <v>1901</v>
      </c>
      <c r="B114" s="6" t="s">
        <v>19</v>
      </c>
      <c r="C114" s="6" t="s">
        <v>719</v>
      </c>
      <c r="D114" s="44">
        <v>798</v>
      </c>
      <c r="E114" s="44">
        <v>900</v>
      </c>
      <c r="F114" s="44">
        <v>6</v>
      </c>
      <c r="G114" s="43">
        <f t="shared" si="9"/>
        <v>718200</v>
      </c>
      <c r="H114" s="57">
        <v>46120</v>
      </c>
      <c r="I114" s="33">
        <v>46154</v>
      </c>
      <c r="J114" s="34">
        <v>46169</v>
      </c>
    </row>
    <row r="115" spans="1:10" ht="18.75" x14ac:dyDescent="0.3">
      <c r="A115" s="44">
        <v>3</v>
      </c>
      <c r="B115" s="6" t="s">
        <v>720</v>
      </c>
      <c r="C115" s="6" t="s">
        <v>170</v>
      </c>
      <c r="D115" s="44">
        <v>480</v>
      </c>
      <c r="E115" s="44">
        <v>900</v>
      </c>
      <c r="F115" s="61" t="s">
        <v>721</v>
      </c>
      <c r="G115" s="43">
        <f t="shared" si="9"/>
        <v>432000</v>
      </c>
      <c r="H115" s="57">
        <v>46150</v>
      </c>
      <c r="I115" s="33">
        <v>46154</v>
      </c>
      <c r="J115" s="34">
        <v>46169</v>
      </c>
    </row>
    <row r="116" spans="1:10" ht="18.75" x14ac:dyDescent="0.3">
      <c r="A116" s="44">
        <v>1903</v>
      </c>
      <c r="B116" s="6" t="s">
        <v>19</v>
      </c>
      <c r="C116" s="6" t="s">
        <v>719</v>
      </c>
      <c r="D116" s="44">
        <v>1596</v>
      </c>
      <c r="E116" s="44">
        <v>900</v>
      </c>
      <c r="F116" s="44" t="s">
        <v>722</v>
      </c>
      <c r="G116" s="43">
        <f t="shared" si="9"/>
        <v>1436400</v>
      </c>
      <c r="H116" s="57">
        <v>46150</v>
      </c>
      <c r="I116" s="33">
        <v>46155</v>
      </c>
      <c r="J116" s="34">
        <v>46170</v>
      </c>
    </row>
    <row r="117" spans="1:10" ht="18.75" x14ac:dyDescent="0.3">
      <c r="A117" s="44">
        <v>16</v>
      </c>
      <c r="B117" s="6" t="s">
        <v>139</v>
      </c>
      <c r="C117" s="6" t="s">
        <v>714</v>
      </c>
      <c r="D117" s="44">
        <v>1408</v>
      </c>
      <c r="E117" s="44">
        <v>900</v>
      </c>
      <c r="F117" s="61" t="s">
        <v>537</v>
      </c>
      <c r="G117" s="43">
        <f t="shared" si="9"/>
        <v>1267200</v>
      </c>
      <c r="H117" s="57">
        <v>46120</v>
      </c>
      <c r="I117" s="33">
        <v>46150</v>
      </c>
      <c r="J117" s="34">
        <v>46165</v>
      </c>
    </row>
    <row r="118" spans="1:10" ht="18.75" x14ac:dyDescent="0.3">
      <c r="A118" s="44">
        <v>1905</v>
      </c>
      <c r="B118" s="6" t="s">
        <v>19</v>
      </c>
      <c r="C118" s="6" t="s">
        <v>723</v>
      </c>
      <c r="D118" s="44">
        <v>504</v>
      </c>
      <c r="E118" s="44">
        <v>1500</v>
      </c>
      <c r="F118" s="61" t="s">
        <v>510</v>
      </c>
      <c r="G118" s="43">
        <f t="shared" si="9"/>
        <v>756000</v>
      </c>
      <c r="H118" s="57">
        <v>46151</v>
      </c>
      <c r="I118" s="33">
        <v>46161</v>
      </c>
      <c r="J118" s="34">
        <v>46145</v>
      </c>
    </row>
    <row r="119" spans="1:10" ht="18.75" x14ac:dyDescent="0.3">
      <c r="A119" s="44">
        <v>17</v>
      </c>
      <c r="B119" s="6" t="s">
        <v>139</v>
      </c>
      <c r="C119" s="6" t="s">
        <v>724</v>
      </c>
      <c r="D119" s="44">
        <v>1356</v>
      </c>
      <c r="E119" s="44">
        <v>1100</v>
      </c>
      <c r="F119" s="61" t="s">
        <v>725</v>
      </c>
      <c r="G119" s="43">
        <f t="shared" si="9"/>
        <v>1491600</v>
      </c>
      <c r="H119" s="57">
        <v>46153</v>
      </c>
      <c r="I119" s="33">
        <v>46158</v>
      </c>
      <c r="J119" s="34">
        <v>46172</v>
      </c>
    </row>
    <row r="120" spans="1:10" ht="18.75" x14ac:dyDescent="0.3">
      <c r="A120" s="44">
        <v>4</v>
      </c>
      <c r="B120" s="6" t="s">
        <v>720</v>
      </c>
      <c r="C120" s="6" t="s">
        <v>170</v>
      </c>
      <c r="D120" s="44">
        <v>720</v>
      </c>
      <c r="E120" s="44">
        <v>900</v>
      </c>
      <c r="F120" s="61" t="s">
        <v>732</v>
      </c>
      <c r="G120" s="32">
        <f t="shared" si="9"/>
        <v>648000</v>
      </c>
      <c r="H120" s="57">
        <v>46156</v>
      </c>
      <c r="I120" s="33">
        <v>46162</v>
      </c>
      <c r="J120" s="34">
        <v>46177</v>
      </c>
    </row>
    <row r="121" spans="1:10" ht="18.75" x14ac:dyDescent="0.3">
      <c r="A121" s="44">
        <v>5</v>
      </c>
      <c r="B121" s="6" t="s">
        <v>720</v>
      </c>
      <c r="C121" s="6" t="s">
        <v>734</v>
      </c>
      <c r="D121" s="44">
        <v>120</v>
      </c>
      <c r="E121" s="44">
        <v>800</v>
      </c>
      <c r="F121" s="61" t="s">
        <v>510</v>
      </c>
      <c r="G121" s="32">
        <f t="shared" si="9"/>
        <v>96000</v>
      </c>
      <c r="H121" s="57">
        <v>46156</v>
      </c>
      <c r="I121" s="33">
        <v>46162</v>
      </c>
      <c r="J121" s="34">
        <v>46146</v>
      </c>
    </row>
    <row r="122" spans="1:10" ht="18.75" x14ac:dyDescent="0.3">
      <c r="A122" s="44">
        <v>18</v>
      </c>
      <c r="B122" s="6" t="s">
        <v>54</v>
      </c>
      <c r="C122" s="6" t="s">
        <v>145</v>
      </c>
      <c r="D122" s="44">
        <v>2016</v>
      </c>
      <c r="E122" s="44">
        <v>900</v>
      </c>
      <c r="F122" s="44" t="s">
        <v>151</v>
      </c>
      <c r="G122" s="43">
        <f t="shared" si="9"/>
        <v>1814400</v>
      </c>
      <c r="H122" s="57">
        <v>46156</v>
      </c>
      <c r="I122" s="33">
        <v>46162</v>
      </c>
      <c r="J122" s="34">
        <v>46148</v>
      </c>
    </row>
    <row r="124" spans="1:10" ht="18.75" x14ac:dyDescent="0.3">
      <c r="G124" s="64">
        <f>G110+G111+G112+G113+G114+G115+G116+G117+G122+G118+G119+G120+G121</f>
        <v>11112000</v>
      </c>
    </row>
    <row r="126" spans="1:10" x14ac:dyDescent="0.25">
      <c r="B126" s="134" t="s">
        <v>744</v>
      </c>
      <c r="C126" s="134"/>
      <c r="D126" s="134"/>
    </row>
    <row r="127" spans="1:10" x14ac:dyDescent="0.25">
      <c r="B127" s="134"/>
      <c r="C127" s="134"/>
      <c r="D127" s="134"/>
    </row>
    <row r="128" spans="1:10" ht="18.75" x14ac:dyDescent="0.3">
      <c r="A128" s="27" t="s">
        <v>33</v>
      </c>
      <c r="B128" s="28" t="s">
        <v>1</v>
      </c>
      <c r="C128" s="28" t="s">
        <v>34</v>
      </c>
      <c r="D128" s="28" t="s">
        <v>12</v>
      </c>
      <c r="E128" s="28" t="s">
        <v>4</v>
      </c>
      <c r="F128" s="28" t="s">
        <v>35</v>
      </c>
      <c r="G128" s="28" t="s">
        <v>36</v>
      </c>
      <c r="H128" s="28" t="s">
        <v>39</v>
      </c>
      <c r="I128" s="28" t="s">
        <v>37</v>
      </c>
      <c r="J128" s="29" t="s">
        <v>38</v>
      </c>
    </row>
    <row r="129" spans="1:10" ht="18.75" x14ac:dyDescent="0.3">
      <c r="A129" s="44">
        <v>19</v>
      </c>
      <c r="B129" s="6" t="s">
        <v>54</v>
      </c>
      <c r="C129" s="6" t="s">
        <v>735</v>
      </c>
      <c r="D129" s="44">
        <v>3072</v>
      </c>
      <c r="E129" s="44">
        <v>900</v>
      </c>
      <c r="F129" s="44" t="s">
        <v>151</v>
      </c>
      <c r="G129" s="43">
        <f>D129*E129</f>
        <v>2764800</v>
      </c>
      <c r="H129" s="57">
        <v>46163</v>
      </c>
      <c r="I129" s="33">
        <v>7</v>
      </c>
      <c r="J129" s="34">
        <v>46185</v>
      </c>
    </row>
    <row r="130" spans="1:10" ht="18.75" x14ac:dyDescent="0.3">
      <c r="A130" s="44">
        <v>1924</v>
      </c>
      <c r="B130" s="6" t="s">
        <v>19</v>
      </c>
      <c r="C130" s="6" t="s">
        <v>340</v>
      </c>
      <c r="D130" s="44">
        <v>1500</v>
      </c>
      <c r="E130" s="44">
        <v>900</v>
      </c>
      <c r="F130" s="44" t="s">
        <v>748</v>
      </c>
      <c r="G130" s="43">
        <f t="shared" ref="G130:G138" si="10">D130*E130</f>
        <v>1350000</v>
      </c>
      <c r="H130" s="57">
        <v>46163</v>
      </c>
      <c r="I130" s="33">
        <v>46168</v>
      </c>
      <c r="J130" s="34">
        <v>46183</v>
      </c>
    </row>
    <row r="131" spans="1:10" ht="18.75" x14ac:dyDescent="0.3">
      <c r="A131" s="44">
        <v>6</v>
      </c>
      <c r="B131" s="6" t="s">
        <v>720</v>
      </c>
      <c r="C131" s="6" t="s">
        <v>736</v>
      </c>
      <c r="D131" s="44">
        <v>320</v>
      </c>
      <c r="E131" s="44">
        <v>900</v>
      </c>
      <c r="F131" s="61" t="s">
        <v>737</v>
      </c>
      <c r="G131" s="43">
        <f t="shared" si="10"/>
        <v>288000</v>
      </c>
      <c r="H131" s="57">
        <v>46163</v>
      </c>
      <c r="I131" s="33">
        <v>46167</v>
      </c>
      <c r="J131" s="34">
        <v>46182</v>
      </c>
    </row>
    <row r="132" spans="1:10" ht="18.75" x14ac:dyDescent="0.3">
      <c r="A132" s="44">
        <v>7</v>
      </c>
      <c r="B132" s="6" t="s">
        <v>720</v>
      </c>
      <c r="C132" s="6" t="s">
        <v>736</v>
      </c>
      <c r="D132" s="44">
        <v>420</v>
      </c>
      <c r="E132" s="44">
        <v>900</v>
      </c>
      <c r="F132" s="44"/>
      <c r="G132" s="43">
        <f t="shared" si="10"/>
        <v>378000</v>
      </c>
      <c r="H132" s="57">
        <v>46168</v>
      </c>
      <c r="I132" s="33">
        <v>46172</v>
      </c>
      <c r="J132" s="34">
        <v>46188</v>
      </c>
    </row>
    <row r="133" spans="1:10" ht="18.75" x14ac:dyDescent="0.3">
      <c r="A133" s="44">
        <v>1931</v>
      </c>
      <c r="B133" s="6" t="s">
        <v>19</v>
      </c>
      <c r="C133" s="6" t="s">
        <v>340</v>
      </c>
      <c r="D133" s="44">
        <v>750</v>
      </c>
      <c r="E133" s="44">
        <v>900</v>
      </c>
      <c r="F133" s="44">
        <v>10</v>
      </c>
      <c r="G133" s="43">
        <f t="shared" si="10"/>
        <v>675000</v>
      </c>
      <c r="H133" s="57">
        <v>46164</v>
      </c>
      <c r="I133" s="33">
        <v>46168</v>
      </c>
      <c r="J133" s="34">
        <v>46152</v>
      </c>
    </row>
    <row r="134" spans="1:10" ht="18.75" x14ac:dyDescent="0.3">
      <c r="A134" s="44">
        <v>1939</v>
      </c>
      <c r="B134" s="6" t="s">
        <v>19</v>
      </c>
      <c r="C134" s="6" t="s">
        <v>126</v>
      </c>
      <c r="D134" s="44">
        <v>2240</v>
      </c>
      <c r="E134" s="44">
        <v>900</v>
      </c>
      <c r="F134" s="44" t="s">
        <v>169</v>
      </c>
      <c r="G134" s="43">
        <f t="shared" si="10"/>
        <v>2016000</v>
      </c>
      <c r="H134" s="57">
        <v>46168</v>
      </c>
      <c r="I134" s="33">
        <v>46178</v>
      </c>
      <c r="J134" s="34">
        <v>46162</v>
      </c>
    </row>
    <row r="135" spans="1:10" ht="18.75" x14ac:dyDescent="0.3">
      <c r="A135" s="44">
        <v>20</v>
      </c>
      <c r="B135" s="6" t="s">
        <v>54</v>
      </c>
      <c r="C135" s="6" t="s">
        <v>738</v>
      </c>
      <c r="D135" s="44">
        <v>1000</v>
      </c>
      <c r="E135" s="44">
        <v>1100</v>
      </c>
      <c r="F135" s="44"/>
      <c r="G135" s="43">
        <f t="shared" si="10"/>
        <v>1100000</v>
      </c>
      <c r="H135" s="57">
        <v>46169</v>
      </c>
      <c r="I135" s="33">
        <v>46179</v>
      </c>
      <c r="J135" s="34">
        <v>46193</v>
      </c>
    </row>
    <row r="136" spans="1:10" ht="18.75" x14ac:dyDescent="0.3">
      <c r="A136" s="44">
        <v>1945</v>
      </c>
      <c r="B136" s="6" t="s">
        <v>19</v>
      </c>
      <c r="C136" s="6" t="s">
        <v>739</v>
      </c>
      <c r="D136" s="44">
        <v>1800</v>
      </c>
      <c r="E136" s="44">
        <v>900</v>
      </c>
      <c r="F136" s="61" t="s">
        <v>151</v>
      </c>
      <c r="G136" s="43">
        <f t="shared" si="10"/>
        <v>1620000</v>
      </c>
      <c r="H136" s="57">
        <v>46170</v>
      </c>
      <c r="I136" s="33">
        <v>46174</v>
      </c>
      <c r="J136" s="34">
        <v>46189</v>
      </c>
    </row>
    <row r="137" spans="1:10" ht="18.75" x14ac:dyDescent="0.3">
      <c r="A137" s="44">
        <v>21</v>
      </c>
      <c r="B137" s="6" t="s">
        <v>54</v>
      </c>
      <c r="C137" s="6" t="s">
        <v>145</v>
      </c>
      <c r="D137" s="44">
        <v>3360</v>
      </c>
      <c r="E137" s="44">
        <v>900</v>
      </c>
      <c r="F137" s="61" t="s">
        <v>759</v>
      </c>
      <c r="G137" s="43">
        <f t="shared" si="10"/>
        <v>3024000</v>
      </c>
      <c r="H137" s="57">
        <v>46170</v>
      </c>
      <c r="I137" s="33">
        <v>46178</v>
      </c>
      <c r="J137" s="34">
        <v>46162</v>
      </c>
    </row>
    <row r="138" spans="1:10" ht="18.75" x14ac:dyDescent="0.3">
      <c r="A138" s="44">
        <v>1</v>
      </c>
      <c r="B138" s="6" t="s">
        <v>740</v>
      </c>
      <c r="C138" s="6" t="s">
        <v>741</v>
      </c>
      <c r="D138" s="44">
        <v>420</v>
      </c>
      <c r="E138" s="44">
        <v>1400</v>
      </c>
      <c r="F138" s="61" t="s">
        <v>742</v>
      </c>
      <c r="G138" s="32">
        <f t="shared" si="10"/>
        <v>588000</v>
      </c>
      <c r="H138" s="57">
        <v>46169</v>
      </c>
      <c r="I138" s="33">
        <v>46183</v>
      </c>
      <c r="J138" s="34">
        <v>46153</v>
      </c>
    </row>
    <row r="139" spans="1:10" ht="18.75" x14ac:dyDescent="0.3">
      <c r="A139" s="44"/>
      <c r="B139" s="6"/>
      <c r="C139" s="6"/>
      <c r="D139" s="44"/>
      <c r="E139" s="44"/>
      <c r="F139" s="44"/>
      <c r="G139" s="32"/>
      <c r="H139" s="57"/>
      <c r="I139" s="33"/>
      <c r="J139" s="34"/>
    </row>
    <row r="141" spans="1:10" ht="18.75" x14ac:dyDescent="0.3">
      <c r="G141" s="64">
        <f>G129+G130+G131+G132+G133+G134+G135+G136+G139+G137+G138</f>
        <v>13803800</v>
      </c>
    </row>
    <row r="142" spans="1:10" x14ac:dyDescent="0.25">
      <c r="B142" s="134" t="s">
        <v>745</v>
      </c>
      <c r="C142" s="134"/>
      <c r="D142" s="134"/>
    </row>
    <row r="143" spans="1:10" x14ac:dyDescent="0.25">
      <c r="B143" s="134"/>
      <c r="C143" s="134"/>
      <c r="D143" s="134"/>
    </row>
    <row r="147" spans="1:10" ht="18.75" x14ac:dyDescent="0.3">
      <c r="A147" s="27" t="s">
        <v>33</v>
      </c>
      <c r="B147" s="28" t="s">
        <v>1</v>
      </c>
      <c r="C147" s="28" t="s">
        <v>34</v>
      </c>
      <c r="D147" s="28" t="s">
        <v>12</v>
      </c>
      <c r="E147" s="28" t="s">
        <v>4</v>
      </c>
      <c r="F147" s="28" t="s">
        <v>35</v>
      </c>
      <c r="G147" s="28" t="s">
        <v>36</v>
      </c>
      <c r="H147" s="28" t="s">
        <v>39</v>
      </c>
      <c r="I147" s="28" t="s">
        <v>37</v>
      </c>
      <c r="J147" s="29" t="s">
        <v>38</v>
      </c>
    </row>
    <row r="148" spans="1:10" ht="18.75" x14ac:dyDescent="0.3">
      <c r="A148" s="44">
        <v>1958</v>
      </c>
      <c r="B148" s="6" t="s">
        <v>19</v>
      </c>
      <c r="C148" s="6" t="s">
        <v>746</v>
      </c>
      <c r="D148" s="44">
        <v>960</v>
      </c>
      <c r="E148" s="44">
        <v>900</v>
      </c>
      <c r="F148" s="44">
        <v>3</v>
      </c>
      <c r="G148" s="43">
        <f t="shared" ref="G148:G159" si="11">D148*E148</f>
        <v>864000</v>
      </c>
      <c r="H148" s="57">
        <v>46175</v>
      </c>
      <c r="I148" s="33">
        <v>46178</v>
      </c>
      <c r="J148" s="34">
        <v>46193</v>
      </c>
    </row>
    <row r="149" spans="1:10" ht="18.75" x14ac:dyDescent="0.3">
      <c r="A149" s="44">
        <v>1951</v>
      </c>
      <c r="B149" s="6" t="s">
        <v>19</v>
      </c>
      <c r="C149" s="6" t="s">
        <v>734</v>
      </c>
      <c r="D149" s="44">
        <v>600</v>
      </c>
      <c r="E149" s="44">
        <v>900</v>
      </c>
      <c r="F149" s="44" t="s">
        <v>743</v>
      </c>
      <c r="G149" s="43">
        <f t="shared" si="11"/>
        <v>540000</v>
      </c>
      <c r="H149" s="57">
        <v>46171</v>
      </c>
      <c r="I149" s="33">
        <v>46182</v>
      </c>
      <c r="J149" s="94" t="s">
        <v>760</v>
      </c>
    </row>
    <row r="150" spans="1:10" ht="18.75" x14ac:dyDescent="0.3">
      <c r="A150" s="44">
        <v>1968</v>
      </c>
      <c r="B150" s="6" t="s">
        <v>19</v>
      </c>
      <c r="C150" s="6" t="s">
        <v>71</v>
      </c>
      <c r="D150" s="44">
        <v>1506</v>
      </c>
      <c r="E150" s="44">
        <v>900</v>
      </c>
      <c r="F150" s="44" t="s">
        <v>747</v>
      </c>
      <c r="G150" s="43">
        <f t="shared" si="11"/>
        <v>1355400</v>
      </c>
      <c r="H150" s="57">
        <v>46147</v>
      </c>
      <c r="I150" s="33">
        <v>46185</v>
      </c>
      <c r="J150" s="34">
        <v>46200</v>
      </c>
    </row>
    <row r="151" spans="1:10" ht="18.75" x14ac:dyDescent="0.3">
      <c r="A151" s="44">
        <v>22</v>
      </c>
      <c r="B151" s="6" t="s">
        <v>54</v>
      </c>
      <c r="C151" s="6" t="s">
        <v>47</v>
      </c>
      <c r="D151" s="44">
        <v>2016</v>
      </c>
      <c r="E151" s="44">
        <v>900</v>
      </c>
      <c r="F151" s="44" t="s">
        <v>151</v>
      </c>
      <c r="G151" s="43">
        <f t="shared" si="11"/>
        <v>1814400</v>
      </c>
      <c r="H151" s="57">
        <v>46147</v>
      </c>
      <c r="I151" s="33">
        <v>46185</v>
      </c>
      <c r="J151" s="34">
        <v>46200</v>
      </c>
    </row>
    <row r="152" spans="1:10" ht="18.75" x14ac:dyDescent="0.3">
      <c r="A152" s="44">
        <v>23</v>
      </c>
      <c r="B152" s="6" t="s">
        <v>54</v>
      </c>
      <c r="C152" s="6" t="s">
        <v>755</v>
      </c>
      <c r="D152" s="44">
        <v>432</v>
      </c>
      <c r="E152" s="44">
        <v>1400</v>
      </c>
      <c r="F152" s="44">
        <v>16</v>
      </c>
      <c r="G152" s="43">
        <f t="shared" si="11"/>
        <v>604800</v>
      </c>
      <c r="H152" s="57">
        <v>46147</v>
      </c>
      <c r="I152" s="33">
        <v>46189</v>
      </c>
      <c r="J152" s="34">
        <v>46207</v>
      </c>
    </row>
    <row r="153" spans="1:10" ht="18.75" x14ac:dyDescent="0.3">
      <c r="A153" s="44">
        <v>1970</v>
      </c>
      <c r="B153" s="6" t="s">
        <v>19</v>
      </c>
      <c r="C153" s="6" t="s">
        <v>749</v>
      </c>
      <c r="D153" s="44">
        <v>840</v>
      </c>
      <c r="E153" s="44">
        <v>1500</v>
      </c>
      <c r="F153" s="44" t="s">
        <v>742</v>
      </c>
      <c r="G153" s="95">
        <f t="shared" si="11"/>
        <v>1260000</v>
      </c>
      <c r="H153" s="57">
        <v>46179</v>
      </c>
      <c r="I153" s="33">
        <v>46183</v>
      </c>
      <c r="J153" s="34">
        <v>46198</v>
      </c>
    </row>
    <row r="154" spans="1:10" ht="18.75" x14ac:dyDescent="0.3">
      <c r="A154" s="44">
        <v>1980</v>
      </c>
      <c r="B154" s="6" t="s">
        <v>19</v>
      </c>
      <c r="C154" s="6" t="s">
        <v>749</v>
      </c>
      <c r="D154" s="44">
        <v>2304</v>
      </c>
      <c r="E154" s="44">
        <v>1500</v>
      </c>
      <c r="F154" s="44" t="s">
        <v>742</v>
      </c>
      <c r="G154" s="43">
        <f t="shared" si="11"/>
        <v>3456000</v>
      </c>
      <c r="H154" s="57">
        <v>46186</v>
      </c>
      <c r="I154" s="33">
        <v>46189</v>
      </c>
      <c r="J154" s="34">
        <v>46204</v>
      </c>
    </row>
    <row r="155" spans="1:10" ht="18.75" x14ac:dyDescent="0.3">
      <c r="A155" s="44">
        <v>1987</v>
      </c>
      <c r="B155" s="6" t="s">
        <v>19</v>
      </c>
      <c r="C155" s="6" t="s">
        <v>756</v>
      </c>
      <c r="D155" s="44">
        <v>600</v>
      </c>
      <c r="E155" s="44">
        <v>1500</v>
      </c>
      <c r="F155" s="44" t="s">
        <v>742</v>
      </c>
      <c r="G155" s="43">
        <f t="shared" si="11"/>
        <v>900000</v>
      </c>
      <c r="H155" s="57">
        <v>46190</v>
      </c>
      <c r="I155" s="33">
        <v>46192</v>
      </c>
      <c r="J155" s="34">
        <v>46207</v>
      </c>
    </row>
    <row r="156" spans="1:10" ht="18.75" x14ac:dyDescent="0.3">
      <c r="A156" s="44"/>
      <c r="B156" s="6"/>
      <c r="C156" s="6"/>
      <c r="D156" s="44"/>
      <c r="E156" s="44"/>
      <c r="F156" s="61"/>
      <c r="G156" s="32"/>
      <c r="H156" s="57"/>
      <c r="I156" s="33"/>
      <c r="J156" s="34"/>
    </row>
    <row r="157" spans="1:10" ht="18.75" x14ac:dyDescent="0.3">
      <c r="A157" s="44"/>
      <c r="B157" s="6"/>
      <c r="C157" s="6"/>
      <c r="D157" s="44"/>
      <c r="E157" s="44"/>
      <c r="F157" s="61"/>
      <c r="G157" s="32">
        <f t="shared" si="11"/>
        <v>0</v>
      </c>
      <c r="H157" s="57"/>
      <c r="I157" s="33"/>
      <c r="J157" s="34"/>
    </row>
    <row r="158" spans="1:10" ht="18.75" x14ac:dyDescent="0.3">
      <c r="A158" s="44"/>
      <c r="B158" s="6"/>
      <c r="C158" s="6"/>
      <c r="D158" s="44"/>
      <c r="E158" s="44"/>
      <c r="F158" s="61"/>
      <c r="G158" s="32">
        <f t="shared" si="11"/>
        <v>0</v>
      </c>
      <c r="H158" s="57"/>
      <c r="I158" s="33"/>
      <c r="J158" s="34"/>
    </row>
    <row r="159" spans="1:10" ht="18.75" x14ac:dyDescent="0.3">
      <c r="A159" s="44"/>
      <c r="B159" s="6"/>
      <c r="C159" s="6"/>
      <c r="D159" s="44"/>
      <c r="E159" s="44"/>
      <c r="F159" s="44"/>
      <c r="G159" s="32">
        <f t="shared" si="11"/>
        <v>0</v>
      </c>
      <c r="H159" s="57"/>
      <c r="I159" s="33"/>
      <c r="J159" s="34"/>
    </row>
    <row r="161" spans="1:10" ht="18.75" x14ac:dyDescent="0.3">
      <c r="G161" s="64">
        <f>G148+G150+G151+G152+G153+G154+G155+G156+G159</f>
        <v>10254600</v>
      </c>
    </row>
    <row r="163" spans="1:10" x14ac:dyDescent="0.25">
      <c r="B163" s="134" t="s">
        <v>761</v>
      </c>
      <c r="C163" s="134"/>
      <c r="D163" s="134"/>
    </row>
    <row r="164" spans="1:10" x14ac:dyDescent="0.25">
      <c r="B164" s="134"/>
      <c r="C164" s="134"/>
      <c r="D164" s="134"/>
    </row>
    <row r="166" spans="1:10" ht="18.75" x14ac:dyDescent="0.3">
      <c r="A166" s="27" t="s">
        <v>33</v>
      </c>
      <c r="B166" s="28" t="s">
        <v>1</v>
      </c>
      <c r="C166" s="28" t="s">
        <v>34</v>
      </c>
      <c r="D166" s="28" t="s">
        <v>12</v>
      </c>
      <c r="E166" s="28" t="s">
        <v>4</v>
      </c>
      <c r="F166" s="28" t="s">
        <v>35</v>
      </c>
      <c r="G166" s="28" t="s">
        <v>36</v>
      </c>
      <c r="H166" s="28" t="s">
        <v>39</v>
      </c>
      <c r="I166" s="28" t="s">
        <v>37</v>
      </c>
      <c r="J166" s="29" t="s">
        <v>38</v>
      </c>
    </row>
    <row r="167" spans="1:10" ht="18.75" x14ac:dyDescent="0.3">
      <c r="A167" s="96">
        <v>25</v>
      </c>
      <c r="B167" s="97" t="s">
        <v>54</v>
      </c>
      <c r="C167" s="6" t="s">
        <v>757</v>
      </c>
      <c r="D167" s="44">
        <v>2016</v>
      </c>
      <c r="E167" s="44">
        <v>1000</v>
      </c>
      <c r="F167" s="44" t="s">
        <v>758</v>
      </c>
      <c r="G167" s="43">
        <f>D167*E167</f>
        <v>2016000</v>
      </c>
      <c r="H167" s="57"/>
      <c r="I167" s="33">
        <v>46200</v>
      </c>
      <c r="J167" s="34">
        <v>46184</v>
      </c>
    </row>
    <row r="168" spans="1:10" ht="18.75" x14ac:dyDescent="0.3">
      <c r="A168" s="96">
        <v>2000</v>
      </c>
      <c r="B168" s="97" t="s">
        <v>19</v>
      </c>
      <c r="C168" s="6" t="s">
        <v>47</v>
      </c>
      <c r="D168" s="44">
        <v>2328</v>
      </c>
      <c r="E168" s="44">
        <v>900</v>
      </c>
      <c r="F168" s="44" t="s">
        <v>445</v>
      </c>
      <c r="G168" s="43"/>
      <c r="H168" s="57"/>
      <c r="I168" s="33">
        <v>46199</v>
      </c>
      <c r="J168" s="94">
        <v>46214</v>
      </c>
    </row>
    <row r="169" spans="1:10" ht="18.75" x14ac:dyDescent="0.3">
      <c r="A169" s="96">
        <v>2061</v>
      </c>
      <c r="B169" s="97" t="s">
        <v>19</v>
      </c>
      <c r="C169" s="6" t="s">
        <v>71</v>
      </c>
      <c r="D169" s="44">
        <v>1620</v>
      </c>
      <c r="E169" s="44">
        <v>900</v>
      </c>
      <c r="F169" s="44" t="s">
        <v>537</v>
      </c>
      <c r="G169" s="43">
        <f t="shared" ref="G169:G176" si="12">D169*E169</f>
        <v>1458000</v>
      </c>
      <c r="H169" s="57"/>
      <c r="I169" s="33">
        <v>46203</v>
      </c>
      <c r="J169" s="34">
        <v>46218</v>
      </c>
    </row>
    <row r="170" spans="1:10" ht="18.75" x14ac:dyDescent="0.3">
      <c r="A170" s="96">
        <v>45</v>
      </c>
      <c r="B170" s="97" t="s">
        <v>720</v>
      </c>
      <c r="C170" s="6" t="s">
        <v>126</v>
      </c>
      <c r="D170" s="30">
        <v>855</v>
      </c>
      <c r="E170" s="44">
        <v>900</v>
      </c>
      <c r="F170" s="44">
        <v>3</v>
      </c>
      <c r="G170" s="43">
        <f t="shared" si="12"/>
        <v>769500</v>
      </c>
      <c r="H170" s="57"/>
      <c r="I170" s="105">
        <v>46204</v>
      </c>
      <c r="J170" s="34">
        <v>46219</v>
      </c>
    </row>
    <row r="171" spans="1:10" ht="18.75" x14ac:dyDescent="0.3">
      <c r="A171" s="96">
        <v>0</v>
      </c>
      <c r="B171" s="97" t="s">
        <v>54</v>
      </c>
      <c r="C171" s="6" t="s">
        <v>762</v>
      </c>
      <c r="D171" s="44">
        <v>256</v>
      </c>
      <c r="E171" s="44">
        <v>900</v>
      </c>
      <c r="F171" s="44">
        <v>12</v>
      </c>
      <c r="G171" s="43">
        <f t="shared" si="12"/>
        <v>230400</v>
      </c>
      <c r="H171" s="57"/>
      <c r="I171" s="33">
        <v>46197</v>
      </c>
      <c r="J171" s="34">
        <v>46212</v>
      </c>
    </row>
    <row r="172" spans="1:10" ht="18.75" x14ac:dyDescent="0.3">
      <c r="A172" s="96">
        <v>27</v>
      </c>
      <c r="B172" s="97" t="s">
        <v>54</v>
      </c>
      <c r="C172" s="6" t="s">
        <v>763</v>
      </c>
      <c r="D172" s="44">
        <v>1024</v>
      </c>
      <c r="E172" s="44">
        <v>900</v>
      </c>
      <c r="F172" s="44" t="s">
        <v>764</v>
      </c>
      <c r="G172" s="43">
        <f t="shared" si="12"/>
        <v>921600</v>
      </c>
      <c r="H172" s="57"/>
      <c r="I172" s="33">
        <v>46197</v>
      </c>
      <c r="J172" s="34">
        <v>46212</v>
      </c>
    </row>
    <row r="173" spans="1:10" ht="18.75" x14ac:dyDescent="0.3">
      <c r="A173" s="96">
        <v>28</v>
      </c>
      <c r="B173" s="97" t="s">
        <v>54</v>
      </c>
      <c r="C173" s="6" t="s">
        <v>446</v>
      </c>
      <c r="D173" s="44">
        <v>2016</v>
      </c>
      <c r="E173" s="44">
        <v>1100</v>
      </c>
      <c r="F173" s="44" t="s">
        <v>812</v>
      </c>
      <c r="G173" s="43">
        <v>1877000</v>
      </c>
      <c r="H173" s="57"/>
      <c r="I173" s="33">
        <v>46206</v>
      </c>
      <c r="J173" s="34">
        <v>46221</v>
      </c>
    </row>
    <row r="174" spans="1:10" ht="18.75" x14ac:dyDescent="0.3">
      <c r="A174" s="96">
        <v>46</v>
      </c>
      <c r="B174" s="97" t="s">
        <v>720</v>
      </c>
      <c r="C174" s="6" t="s">
        <v>836</v>
      </c>
      <c r="D174" s="30">
        <v>561</v>
      </c>
      <c r="E174" s="44">
        <v>900</v>
      </c>
      <c r="F174" s="61" t="s">
        <v>732</v>
      </c>
      <c r="G174" s="43">
        <f t="shared" si="12"/>
        <v>504900</v>
      </c>
      <c r="H174" s="57">
        <v>46202</v>
      </c>
      <c r="I174" s="33">
        <v>46204</v>
      </c>
      <c r="J174" s="34">
        <v>46219</v>
      </c>
    </row>
    <row r="175" spans="1:10" ht="18.75" x14ac:dyDescent="0.3">
      <c r="A175" s="96">
        <v>2074</v>
      </c>
      <c r="B175" s="97" t="s">
        <v>19</v>
      </c>
      <c r="C175" s="6" t="s">
        <v>866</v>
      </c>
      <c r="D175" s="103">
        <v>1800</v>
      </c>
      <c r="E175" s="44">
        <v>900</v>
      </c>
      <c r="F175" s="61" t="s">
        <v>820</v>
      </c>
      <c r="G175" s="43">
        <f t="shared" si="12"/>
        <v>1620000</v>
      </c>
      <c r="H175" s="57"/>
      <c r="I175" s="33">
        <v>46206</v>
      </c>
      <c r="J175" s="34">
        <v>46221</v>
      </c>
    </row>
    <row r="176" spans="1:10" ht="18.75" x14ac:dyDescent="0.3">
      <c r="A176" s="44"/>
      <c r="B176" s="6"/>
      <c r="C176" s="6"/>
      <c r="D176" s="44"/>
      <c r="E176" s="44"/>
      <c r="F176" s="61"/>
      <c r="G176" s="32">
        <f t="shared" si="12"/>
        <v>0</v>
      </c>
      <c r="H176" s="57"/>
      <c r="I176" s="33"/>
      <c r="J176" s="34"/>
    </row>
    <row r="177" spans="1:10" ht="18.75" x14ac:dyDescent="0.3">
      <c r="A177" s="44"/>
      <c r="B177" s="6"/>
      <c r="C177" s="6"/>
      <c r="D177" s="44"/>
      <c r="E177" s="44"/>
      <c r="F177" s="61"/>
      <c r="G177" s="32">
        <f t="shared" ref="G177" si="13">D177*E177</f>
        <v>0</v>
      </c>
      <c r="H177" s="57"/>
      <c r="I177" s="33"/>
      <c r="J177" s="34"/>
    </row>
    <row r="178" spans="1:10" ht="18.75" x14ac:dyDescent="0.3">
      <c r="A178" s="44"/>
      <c r="B178" s="6"/>
      <c r="C178" s="6"/>
      <c r="D178" s="44"/>
      <c r="E178" s="44"/>
      <c r="F178" s="44"/>
      <c r="G178" s="32">
        <f t="shared" ref="G178" si="14">D178*E178</f>
        <v>0</v>
      </c>
      <c r="H178" s="57"/>
      <c r="I178" s="33"/>
      <c r="J178" s="34"/>
    </row>
    <row r="180" spans="1:10" ht="18.75" x14ac:dyDescent="0.3">
      <c r="G180" s="64">
        <f>G167+G168+G169+G170+G171+G172+G174+G173+G175+G176+G177+G178</f>
        <v>9397400</v>
      </c>
    </row>
    <row r="182" spans="1:10" x14ac:dyDescent="0.25">
      <c r="B182" s="134" t="s">
        <v>813</v>
      </c>
      <c r="C182" s="134"/>
      <c r="D182" s="134"/>
    </row>
    <row r="183" spans="1:10" x14ac:dyDescent="0.25">
      <c r="B183" s="134"/>
      <c r="C183" s="134"/>
      <c r="D183" s="134"/>
      <c r="F183" t="s">
        <v>249</v>
      </c>
    </row>
    <row r="185" spans="1:10" ht="18.75" x14ac:dyDescent="0.3">
      <c r="A185" s="27" t="s">
        <v>33</v>
      </c>
      <c r="B185" s="28" t="s">
        <v>1</v>
      </c>
      <c r="C185" s="28" t="s">
        <v>34</v>
      </c>
      <c r="D185" s="28" t="s">
        <v>12</v>
      </c>
      <c r="E185" s="28" t="s">
        <v>4</v>
      </c>
      <c r="F185" s="28" t="s">
        <v>35</v>
      </c>
      <c r="G185" s="28" t="s">
        <v>36</v>
      </c>
      <c r="H185" s="28" t="s">
        <v>39</v>
      </c>
      <c r="I185" s="28" t="s">
        <v>37</v>
      </c>
      <c r="J185" s="29" t="s">
        <v>38</v>
      </c>
    </row>
    <row r="186" spans="1:10" ht="18.75" x14ac:dyDescent="0.3">
      <c r="A186" s="44">
        <v>29</v>
      </c>
      <c r="B186" s="6" t="s">
        <v>814</v>
      </c>
      <c r="C186" s="6" t="s">
        <v>837</v>
      </c>
      <c r="D186" s="44">
        <v>828</v>
      </c>
      <c r="E186" s="44">
        <v>1500</v>
      </c>
      <c r="F186" s="44" t="s">
        <v>852</v>
      </c>
      <c r="G186" s="43">
        <f t="shared" ref="G186:G195" si="15">D186*E186</f>
        <v>1242000</v>
      </c>
      <c r="H186" s="57"/>
      <c r="I186" s="33">
        <v>46213</v>
      </c>
      <c r="J186" s="34">
        <v>46228</v>
      </c>
    </row>
    <row r="187" spans="1:10" ht="18.75" x14ac:dyDescent="0.3">
      <c r="A187" s="44">
        <v>2078</v>
      </c>
      <c r="B187" s="6" t="s">
        <v>780</v>
      </c>
      <c r="C187" s="6" t="s">
        <v>853</v>
      </c>
      <c r="D187" s="44">
        <v>1265</v>
      </c>
      <c r="E187" s="44">
        <v>900</v>
      </c>
      <c r="F187" s="44">
        <v>8</v>
      </c>
      <c r="G187" s="43"/>
      <c r="H187" s="57"/>
      <c r="I187" s="33">
        <v>46211</v>
      </c>
      <c r="J187" s="94">
        <v>46226</v>
      </c>
    </row>
    <row r="188" spans="1:10" ht="18.75" x14ac:dyDescent="0.3">
      <c r="A188" s="44">
        <v>2076</v>
      </c>
      <c r="B188" s="6" t="s">
        <v>780</v>
      </c>
      <c r="C188" s="6" t="s">
        <v>853</v>
      </c>
      <c r="D188" s="44">
        <v>1265</v>
      </c>
      <c r="E188" s="44">
        <v>900</v>
      </c>
      <c r="F188" s="44">
        <v>4</v>
      </c>
      <c r="G188" s="43"/>
      <c r="H188" s="57"/>
      <c r="I188" s="33">
        <v>46211</v>
      </c>
      <c r="J188" s="34">
        <v>46226</v>
      </c>
    </row>
    <row r="189" spans="1:10" ht="18.75" x14ac:dyDescent="0.3">
      <c r="A189" s="44">
        <v>2088</v>
      </c>
      <c r="B189" s="6" t="s">
        <v>780</v>
      </c>
      <c r="C189" s="6" t="s">
        <v>867</v>
      </c>
      <c r="D189" s="44">
        <v>1644</v>
      </c>
      <c r="E189" s="44">
        <v>900</v>
      </c>
      <c r="F189" s="44" t="s">
        <v>865</v>
      </c>
      <c r="G189" s="43">
        <f t="shared" si="15"/>
        <v>1479600</v>
      </c>
      <c r="H189" s="57"/>
      <c r="I189" s="33">
        <v>46214</v>
      </c>
      <c r="J189" s="34">
        <v>46229</v>
      </c>
    </row>
    <row r="190" spans="1:10" ht="18.75" x14ac:dyDescent="0.3">
      <c r="A190" s="44">
        <v>2097</v>
      </c>
      <c r="B190" s="6" t="s">
        <v>780</v>
      </c>
      <c r="C190" s="6" t="s">
        <v>868</v>
      </c>
      <c r="D190" s="44">
        <v>1223</v>
      </c>
      <c r="E190" s="44">
        <v>900</v>
      </c>
      <c r="F190" s="44" t="s">
        <v>599</v>
      </c>
      <c r="G190" s="43">
        <f t="shared" si="15"/>
        <v>1100700</v>
      </c>
      <c r="H190" s="57"/>
      <c r="I190" s="33">
        <v>46219</v>
      </c>
      <c r="J190" s="34">
        <v>46234</v>
      </c>
    </row>
    <row r="191" spans="1:10" ht="18.75" x14ac:dyDescent="0.3">
      <c r="A191" s="44">
        <v>2100</v>
      </c>
      <c r="B191" s="6" t="s">
        <v>780</v>
      </c>
      <c r="C191" s="6" t="s">
        <v>746</v>
      </c>
      <c r="D191" s="44">
        <v>946</v>
      </c>
      <c r="E191" s="44">
        <v>900</v>
      </c>
      <c r="F191" s="44" t="s">
        <v>151</v>
      </c>
      <c r="G191" s="43">
        <f t="shared" si="15"/>
        <v>851400</v>
      </c>
      <c r="H191" s="57"/>
      <c r="I191" s="33">
        <v>46220</v>
      </c>
      <c r="J191" s="34">
        <v>46204</v>
      </c>
    </row>
    <row r="192" spans="1:10" ht="18.75" x14ac:dyDescent="0.3">
      <c r="A192" s="44">
        <v>2954</v>
      </c>
      <c r="B192" s="6" t="s">
        <v>780</v>
      </c>
      <c r="C192" s="6" t="s">
        <v>71</v>
      </c>
      <c r="D192" s="44">
        <v>1265</v>
      </c>
      <c r="E192" s="44">
        <v>900</v>
      </c>
      <c r="F192" s="44">
        <v>14</v>
      </c>
      <c r="G192" s="43">
        <f t="shared" si="15"/>
        <v>1138500</v>
      </c>
      <c r="H192" s="57"/>
      <c r="I192" s="33">
        <v>46218</v>
      </c>
      <c r="J192" s="34">
        <v>46233</v>
      </c>
    </row>
    <row r="193" spans="1:10" ht="18.75" x14ac:dyDescent="0.3">
      <c r="A193" s="44">
        <v>30</v>
      </c>
      <c r="B193" s="6" t="s">
        <v>814</v>
      </c>
      <c r="C193" s="6" t="s">
        <v>47</v>
      </c>
      <c r="D193" s="44">
        <v>1512</v>
      </c>
      <c r="E193" s="44">
        <v>900</v>
      </c>
      <c r="F193" s="89" t="s">
        <v>870</v>
      </c>
      <c r="G193" s="32"/>
      <c r="H193" s="57"/>
      <c r="I193" s="33">
        <v>46221</v>
      </c>
      <c r="J193" s="34">
        <v>46237</v>
      </c>
    </row>
    <row r="194" spans="1:10" ht="18.75" x14ac:dyDescent="0.3">
      <c r="A194" s="44"/>
      <c r="B194" s="6"/>
      <c r="C194" s="6"/>
      <c r="D194" s="44"/>
      <c r="E194" s="44"/>
      <c r="F194" s="61"/>
      <c r="G194" s="32">
        <f t="shared" si="15"/>
        <v>0</v>
      </c>
      <c r="H194" s="57"/>
      <c r="I194" s="33"/>
      <c r="J194" s="34"/>
    </row>
    <row r="195" spans="1:10" ht="18.75" x14ac:dyDescent="0.3">
      <c r="A195" s="44"/>
      <c r="B195" s="6"/>
      <c r="C195" s="6"/>
      <c r="D195" s="44"/>
      <c r="E195" s="44"/>
      <c r="F195" s="61"/>
      <c r="G195" s="32">
        <f t="shared" si="15"/>
        <v>0</v>
      </c>
      <c r="H195" s="57"/>
      <c r="I195" s="33"/>
      <c r="J195" s="34"/>
    </row>
    <row r="196" spans="1:10" ht="18.75" x14ac:dyDescent="0.3">
      <c r="A196" s="44"/>
      <c r="B196" s="6"/>
      <c r="C196" s="6"/>
      <c r="D196" s="44"/>
      <c r="E196" s="44"/>
      <c r="F196" s="61"/>
      <c r="G196" s="32">
        <f t="shared" ref="G196:G197" si="16">D196*E196</f>
        <v>0</v>
      </c>
      <c r="H196" s="57"/>
      <c r="I196" s="33"/>
      <c r="J196" s="34"/>
    </row>
    <row r="197" spans="1:10" ht="18.75" x14ac:dyDescent="0.3">
      <c r="A197" s="44"/>
      <c r="B197" s="6"/>
      <c r="C197" s="6"/>
      <c r="D197" s="44"/>
      <c r="E197" s="44"/>
      <c r="F197" s="44"/>
      <c r="G197" s="32">
        <f t="shared" si="16"/>
        <v>0</v>
      </c>
      <c r="H197" s="57"/>
      <c r="I197" s="33"/>
      <c r="J197" s="34"/>
    </row>
    <row r="199" spans="1:10" ht="18.75" x14ac:dyDescent="0.3">
      <c r="G199" s="64">
        <f>G186+G187+G188+G189+G190+G191+G193+G192+G194+G195+G196+G197</f>
        <v>5812200</v>
      </c>
    </row>
    <row r="201" spans="1:10" x14ac:dyDescent="0.25">
      <c r="B201" s="134" t="s">
        <v>903</v>
      </c>
      <c r="C201" s="134"/>
      <c r="D201" s="134"/>
    </row>
    <row r="202" spans="1:10" x14ac:dyDescent="0.25">
      <c r="B202" s="134"/>
      <c r="C202" s="134"/>
      <c r="D202" s="134"/>
      <c r="F202" t="s">
        <v>249</v>
      </c>
    </row>
    <row r="204" spans="1:10" ht="18.75" x14ac:dyDescent="0.3">
      <c r="A204" s="27" t="s">
        <v>33</v>
      </c>
      <c r="B204" s="28" t="s">
        <v>1</v>
      </c>
      <c r="C204" s="28" t="s">
        <v>34</v>
      </c>
      <c r="D204" s="28" t="s">
        <v>12</v>
      </c>
      <c r="E204" s="28" t="s">
        <v>4</v>
      </c>
      <c r="F204" s="28" t="s">
        <v>35</v>
      </c>
      <c r="G204" s="28" t="s">
        <v>36</v>
      </c>
      <c r="H204" s="28" t="s">
        <v>39</v>
      </c>
      <c r="I204" s="28" t="s">
        <v>37</v>
      </c>
      <c r="J204" s="29" t="s">
        <v>38</v>
      </c>
    </row>
    <row r="205" spans="1:10" ht="18.75" x14ac:dyDescent="0.3">
      <c r="A205" s="44">
        <v>2962</v>
      </c>
      <c r="B205" s="6" t="s">
        <v>19</v>
      </c>
      <c r="C205" s="6" t="s">
        <v>228</v>
      </c>
      <c r="D205" s="44">
        <v>2492</v>
      </c>
      <c r="E205" s="44">
        <v>900</v>
      </c>
      <c r="F205" s="44" t="s">
        <v>708</v>
      </c>
      <c r="G205" s="43"/>
      <c r="H205" s="57"/>
      <c r="I205" s="33">
        <v>46224</v>
      </c>
      <c r="J205" s="34">
        <v>46239</v>
      </c>
    </row>
    <row r="206" spans="1:10" ht="18.75" x14ac:dyDescent="0.3">
      <c r="A206" s="44">
        <v>2964</v>
      </c>
      <c r="B206" s="6" t="s">
        <v>19</v>
      </c>
      <c r="C206" s="6" t="s">
        <v>228</v>
      </c>
      <c r="D206" s="44">
        <v>1650</v>
      </c>
      <c r="E206" s="44">
        <v>900</v>
      </c>
      <c r="F206" s="44" t="s">
        <v>904</v>
      </c>
      <c r="G206" s="43"/>
      <c r="H206" s="57"/>
      <c r="I206" s="33">
        <v>46225</v>
      </c>
      <c r="J206" s="94">
        <v>46240</v>
      </c>
    </row>
    <row r="207" spans="1:10" ht="18.75" x14ac:dyDescent="0.3">
      <c r="A207" s="44">
        <v>2974</v>
      </c>
      <c r="B207" s="6" t="s">
        <v>19</v>
      </c>
      <c r="C207" s="6" t="s">
        <v>905</v>
      </c>
      <c r="D207" s="44">
        <v>1138</v>
      </c>
      <c r="E207" s="44">
        <v>1500</v>
      </c>
      <c r="F207" s="44" t="s">
        <v>907</v>
      </c>
      <c r="G207" s="43">
        <f t="shared" ref="G207:G216" si="17">D207*E207</f>
        <v>1707000</v>
      </c>
      <c r="H207" s="57"/>
      <c r="I207" s="33">
        <v>46234</v>
      </c>
      <c r="J207" s="34">
        <v>46249</v>
      </c>
    </row>
    <row r="208" spans="1:10" ht="18.75" x14ac:dyDescent="0.3">
      <c r="A208" s="44">
        <v>2973</v>
      </c>
      <c r="B208" s="6" t="s">
        <v>19</v>
      </c>
      <c r="C208" s="6" t="s">
        <v>906</v>
      </c>
      <c r="D208" s="44">
        <v>1138</v>
      </c>
      <c r="E208" s="44">
        <v>1500</v>
      </c>
      <c r="F208" s="44" t="s">
        <v>907</v>
      </c>
      <c r="G208" s="43">
        <f t="shared" si="17"/>
        <v>1707000</v>
      </c>
      <c r="H208" s="57"/>
      <c r="I208" s="33">
        <v>46234</v>
      </c>
      <c r="J208" s="34">
        <v>46249</v>
      </c>
    </row>
    <row r="209" spans="1:10" ht="18.75" x14ac:dyDescent="0.3">
      <c r="A209" s="44">
        <v>31</v>
      </c>
      <c r="B209" s="6" t="s">
        <v>814</v>
      </c>
      <c r="C209" s="6" t="s">
        <v>908</v>
      </c>
      <c r="D209" s="44">
        <v>2016</v>
      </c>
      <c r="E209" s="44">
        <v>900</v>
      </c>
      <c r="F209" s="44" t="s">
        <v>909</v>
      </c>
      <c r="G209" s="32">
        <f t="shared" si="17"/>
        <v>1814400</v>
      </c>
      <c r="H209" s="57"/>
      <c r="I209" s="33"/>
      <c r="J209" s="34"/>
    </row>
    <row r="210" spans="1:10" ht="18.75" x14ac:dyDescent="0.3">
      <c r="A210" s="44">
        <v>2977</v>
      </c>
      <c r="B210" s="6" t="s">
        <v>19</v>
      </c>
      <c r="C210" s="6" t="s">
        <v>905</v>
      </c>
      <c r="D210" s="44">
        <v>1138</v>
      </c>
      <c r="E210" s="44">
        <v>1350</v>
      </c>
      <c r="F210" s="44" t="s">
        <v>909</v>
      </c>
      <c r="G210" s="32"/>
      <c r="H210" s="57"/>
      <c r="I210" s="33"/>
      <c r="J210" s="34"/>
    </row>
    <row r="211" spans="1:10" ht="18.75" x14ac:dyDescent="0.3">
      <c r="A211" s="44">
        <v>2978</v>
      </c>
      <c r="B211" s="6" t="s">
        <v>19</v>
      </c>
      <c r="C211" s="6" t="s">
        <v>906</v>
      </c>
      <c r="D211" s="44">
        <v>1115</v>
      </c>
      <c r="E211" s="44">
        <v>1350</v>
      </c>
      <c r="F211" s="44" t="s">
        <v>909</v>
      </c>
      <c r="G211" s="32"/>
      <c r="H211" s="57"/>
      <c r="I211" s="33"/>
      <c r="J211" s="34"/>
    </row>
    <row r="212" spans="1:10" ht="18.75" x14ac:dyDescent="0.3">
      <c r="A212" s="44">
        <v>1</v>
      </c>
      <c r="B212" s="6" t="s">
        <v>740</v>
      </c>
      <c r="C212" s="6" t="s">
        <v>145</v>
      </c>
      <c r="D212" s="44">
        <v>498</v>
      </c>
      <c r="E212" s="44">
        <v>1700</v>
      </c>
      <c r="F212" s="89" t="s">
        <v>909</v>
      </c>
      <c r="G212" s="32">
        <f t="shared" si="17"/>
        <v>846600</v>
      </c>
      <c r="H212" s="57"/>
      <c r="I212" s="33"/>
      <c r="J212" s="34"/>
    </row>
    <row r="213" spans="1:10" ht="18.75" x14ac:dyDescent="0.3">
      <c r="A213" s="44"/>
      <c r="B213" s="6"/>
      <c r="C213" s="6"/>
      <c r="D213" s="44"/>
      <c r="E213" s="44"/>
      <c r="F213" s="61"/>
      <c r="G213" s="32">
        <f t="shared" si="17"/>
        <v>0</v>
      </c>
      <c r="H213" s="57"/>
      <c r="I213" s="33"/>
      <c r="J213" s="34"/>
    </row>
    <row r="214" spans="1:10" ht="18.75" x14ac:dyDescent="0.3">
      <c r="A214" s="44"/>
      <c r="B214" s="6"/>
      <c r="C214" s="6"/>
      <c r="D214" s="44"/>
      <c r="E214" s="44"/>
      <c r="F214" s="61"/>
      <c r="G214" s="32">
        <f t="shared" si="17"/>
        <v>0</v>
      </c>
      <c r="H214" s="57"/>
      <c r="I214" s="33"/>
      <c r="J214" s="34"/>
    </row>
    <row r="215" spans="1:10" ht="18.75" x14ac:dyDescent="0.3">
      <c r="A215" s="44"/>
      <c r="B215" s="6"/>
      <c r="C215" s="6"/>
      <c r="D215" s="44"/>
      <c r="E215" s="44"/>
      <c r="F215" s="61"/>
      <c r="G215" s="32"/>
      <c r="H215" s="57"/>
      <c r="I215" s="33"/>
      <c r="J215" s="34"/>
    </row>
    <row r="216" spans="1:10" ht="18.75" x14ac:dyDescent="0.3">
      <c r="A216" s="44"/>
      <c r="B216" s="6"/>
      <c r="C216" s="6"/>
      <c r="D216" s="44"/>
      <c r="E216" s="44"/>
      <c r="F216" s="44"/>
      <c r="G216" s="32">
        <f t="shared" si="17"/>
        <v>0</v>
      </c>
      <c r="H216" s="57"/>
      <c r="I216" s="33"/>
      <c r="J216" s="34"/>
    </row>
    <row r="218" spans="1:10" ht="18.75" x14ac:dyDescent="0.3">
      <c r="G218" s="64">
        <f>G205+G206+G207+G208+G209+G210+G212+G211+G213+G214+G215+G216</f>
        <v>6075000</v>
      </c>
    </row>
    <row r="220" spans="1:10" ht="18.75" x14ac:dyDescent="0.3">
      <c r="A220" s="27" t="s">
        <v>33</v>
      </c>
      <c r="B220" s="28" t="s">
        <v>1</v>
      </c>
      <c r="C220" s="28" t="s">
        <v>34</v>
      </c>
      <c r="D220" s="28" t="s">
        <v>12</v>
      </c>
      <c r="E220" s="28" t="s">
        <v>4</v>
      </c>
      <c r="F220" s="28" t="s">
        <v>35</v>
      </c>
      <c r="G220" s="28" t="s">
        <v>36</v>
      </c>
      <c r="H220" s="28" t="s">
        <v>39</v>
      </c>
      <c r="I220" s="28" t="s">
        <v>37</v>
      </c>
      <c r="J220" s="29" t="s">
        <v>38</v>
      </c>
    </row>
    <row r="221" spans="1:10" ht="18.75" x14ac:dyDescent="0.3">
      <c r="A221" s="44">
        <v>2995</v>
      </c>
      <c r="B221" s="6" t="s">
        <v>19</v>
      </c>
      <c r="C221" s="6" t="s">
        <v>47</v>
      </c>
      <c r="D221" s="44">
        <v>4347</v>
      </c>
      <c r="E221" s="44">
        <v>900</v>
      </c>
      <c r="F221" s="89" t="s">
        <v>909</v>
      </c>
      <c r="G221" s="32">
        <f t="shared" ref="G221" si="18">D221*E221</f>
        <v>3912300</v>
      </c>
      <c r="H221" s="57"/>
      <c r="I221" s="33"/>
      <c r="J221" s="34">
        <v>46260</v>
      </c>
    </row>
    <row r="222" spans="1:10" ht="18.75" x14ac:dyDescent="0.3">
      <c r="A222" s="44">
        <v>32</v>
      </c>
      <c r="B222" s="6" t="s">
        <v>54</v>
      </c>
      <c r="C222" s="6" t="s">
        <v>145</v>
      </c>
      <c r="D222" s="44">
        <v>3024</v>
      </c>
      <c r="E222" s="44">
        <v>900</v>
      </c>
      <c r="F222" s="61" t="s">
        <v>909</v>
      </c>
      <c r="G222" s="32">
        <f t="shared" ref="G222:G229" si="19">D222*E222</f>
        <v>2721600</v>
      </c>
      <c r="H222" s="57"/>
      <c r="I222" s="33"/>
      <c r="J222" s="34">
        <v>46256</v>
      </c>
    </row>
    <row r="223" spans="1:10" ht="18.75" x14ac:dyDescent="0.3">
      <c r="A223" s="44">
        <v>33</v>
      </c>
      <c r="B223" s="6" t="s">
        <v>54</v>
      </c>
      <c r="C223" s="6" t="s">
        <v>145</v>
      </c>
      <c r="D223" s="44">
        <v>1344</v>
      </c>
      <c r="E223" s="44">
        <v>1000</v>
      </c>
      <c r="F223" s="61" t="s">
        <v>935</v>
      </c>
      <c r="G223" s="32">
        <f t="shared" si="19"/>
        <v>1344000</v>
      </c>
      <c r="H223" s="57"/>
      <c r="I223" s="33"/>
      <c r="J223" s="34">
        <v>46263</v>
      </c>
    </row>
    <row r="224" spans="1:10" ht="18.75" x14ac:dyDescent="0.3">
      <c r="A224" s="44">
        <v>2160</v>
      </c>
      <c r="B224" s="6" t="s">
        <v>19</v>
      </c>
      <c r="C224" s="6" t="s">
        <v>936</v>
      </c>
      <c r="D224" s="44">
        <v>1141</v>
      </c>
      <c r="E224" s="44">
        <v>1000</v>
      </c>
      <c r="F224" s="89" t="s">
        <v>937</v>
      </c>
      <c r="G224" s="32">
        <f t="shared" si="19"/>
        <v>1141000</v>
      </c>
      <c r="H224" s="57"/>
      <c r="I224" s="33"/>
      <c r="J224" s="34"/>
    </row>
    <row r="225" spans="1:10" ht="18.75" x14ac:dyDescent="0.3">
      <c r="A225" s="44">
        <v>2159</v>
      </c>
      <c r="B225" s="6" t="s">
        <v>19</v>
      </c>
      <c r="C225" s="6" t="s">
        <v>938</v>
      </c>
      <c r="D225" s="44">
        <v>1140</v>
      </c>
      <c r="E225" s="44">
        <v>1000</v>
      </c>
      <c r="F225" s="89" t="s">
        <v>937</v>
      </c>
      <c r="G225" s="32">
        <f t="shared" si="19"/>
        <v>1140000</v>
      </c>
      <c r="H225" s="57"/>
      <c r="I225" s="33"/>
      <c r="J225" s="34"/>
    </row>
    <row r="226" spans="1:10" ht="18.75" x14ac:dyDescent="0.3">
      <c r="A226" s="44">
        <v>34</v>
      </c>
      <c r="B226" s="6" t="s">
        <v>54</v>
      </c>
      <c r="C226" s="6" t="s">
        <v>939</v>
      </c>
      <c r="D226" s="44">
        <v>3498</v>
      </c>
      <c r="E226" s="44">
        <v>1000</v>
      </c>
      <c r="F226" s="61" t="s">
        <v>909</v>
      </c>
      <c r="G226" s="32">
        <f t="shared" si="19"/>
        <v>3498000</v>
      </c>
      <c r="H226" s="57"/>
      <c r="I226" s="33"/>
      <c r="J226" s="34"/>
    </row>
    <row r="227" spans="1:10" ht="18.75" x14ac:dyDescent="0.3">
      <c r="A227" s="44">
        <v>2</v>
      </c>
      <c r="B227" s="6" t="s">
        <v>720</v>
      </c>
      <c r="C227" s="6" t="s">
        <v>340</v>
      </c>
      <c r="D227" s="44">
        <v>720</v>
      </c>
      <c r="E227" s="44">
        <v>850</v>
      </c>
      <c r="F227" s="61" t="s">
        <v>953</v>
      </c>
      <c r="G227" s="32">
        <f t="shared" si="19"/>
        <v>612000</v>
      </c>
      <c r="H227" s="57"/>
      <c r="I227" s="33"/>
      <c r="J227" s="34"/>
    </row>
    <row r="228" spans="1:10" ht="18.75" x14ac:dyDescent="0.3">
      <c r="A228" s="44"/>
      <c r="B228" s="6"/>
      <c r="C228" s="6"/>
      <c r="D228" s="44"/>
      <c r="E228" s="44"/>
      <c r="F228" s="61"/>
      <c r="G228" s="32">
        <f t="shared" si="19"/>
        <v>0</v>
      </c>
      <c r="H228" s="57"/>
      <c r="I228" s="33"/>
      <c r="J228" s="34"/>
    </row>
    <row r="229" spans="1:10" ht="18.75" x14ac:dyDescent="0.3">
      <c r="A229" s="44"/>
      <c r="B229" s="6"/>
      <c r="C229" s="6"/>
      <c r="D229" s="44"/>
      <c r="E229" s="44"/>
      <c r="F229" s="44"/>
      <c r="G229" s="32">
        <f t="shared" si="19"/>
        <v>0</v>
      </c>
      <c r="H229" s="57"/>
      <c r="I229" s="33"/>
      <c r="J229" s="34"/>
    </row>
    <row r="231" spans="1:10" ht="18.75" x14ac:dyDescent="0.3">
      <c r="G231" s="64">
        <f>G221+G222+G223+G224+G225+G226+G227+G228</f>
        <v>14368900</v>
      </c>
    </row>
  </sheetData>
  <mergeCells count="13">
    <mergeCell ref="B107:D108"/>
    <mergeCell ref="I82:I83"/>
    <mergeCell ref="B89:D90"/>
    <mergeCell ref="C19:E20"/>
    <mergeCell ref="C1:E2"/>
    <mergeCell ref="C33:E34"/>
    <mergeCell ref="C53:E54"/>
    <mergeCell ref="C73:E74"/>
    <mergeCell ref="B201:D202"/>
    <mergeCell ref="B182:D183"/>
    <mergeCell ref="B163:D164"/>
    <mergeCell ref="B126:D127"/>
    <mergeCell ref="B142:D14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B7A90-F813-49EA-91B2-693467D54664}">
  <dimension ref="A1:G285"/>
  <sheetViews>
    <sheetView topLeftCell="A19" workbookViewId="0">
      <selection activeCell="F13" sqref="F13"/>
    </sheetView>
  </sheetViews>
  <sheetFormatPr baseColWidth="10" defaultRowHeight="15" x14ac:dyDescent="0.25"/>
  <cols>
    <col min="1" max="1" width="25.28515625" customWidth="1"/>
    <col min="2" max="2" width="40.42578125" customWidth="1"/>
    <col min="3" max="3" width="45.5703125" customWidth="1"/>
    <col min="4" max="4" width="20.140625" customWidth="1"/>
    <col min="5" max="5" width="22.7109375" customWidth="1"/>
    <col min="6" max="6" width="22.5703125" customWidth="1"/>
    <col min="7" max="7" width="24.5703125" customWidth="1"/>
  </cols>
  <sheetData>
    <row r="1" spans="1:7" x14ac:dyDescent="0.25">
      <c r="C1" s="138" t="s">
        <v>395</v>
      </c>
      <c r="D1" s="138"/>
      <c r="E1" s="138"/>
    </row>
    <row r="2" spans="1:7" x14ac:dyDescent="0.25">
      <c r="C2" s="138"/>
      <c r="D2" s="138"/>
      <c r="E2" s="138"/>
    </row>
    <row r="3" spans="1:7" ht="18.75" x14ac:dyDescent="0.3">
      <c r="A3" s="35" t="s">
        <v>0</v>
      </c>
      <c r="B3" s="35" t="s">
        <v>1</v>
      </c>
      <c r="C3" s="35" t="s">
        <v>2</v>
      </c>
      <c r="D3" s="35" t="s">
        <v>3</v>
      </c>
      <c r="E3" s="35" t="s">
        <v>4</v>
      </c>
      <c r="F3" s="35" t="s">
        <v>5</v>
      </c>
      <c r="G3" s="35" t="s">
        <v>6</v>
      </c>
    </row>
    <row r="4" spans="1:7" ht="18.75" x14ac:dyDescent="0.3">
      <c r="A4" s="22">
        <v>1</v>
      </c>
      <c r="B4" s="22" t="s">
        <v>509</v>
      </c>
      <c r="C4" s="23" t="s">
        <v>497</v>
      </c>
      <c r="D4" s="24">
        <v>480</v>
      </c>
      <c r="E4" s="22">
        <v>2000</v>
      </c>
      <c r="F4" s="25" t="s">
        <v>510</v>
      </c>
      <c r="G4" s="26">
        <f>D4*E4</f>
        <v>960000</v>
      </c>
    </row>
    <row r="5" spans="1:7" ht="18.75" x14ac:dyDescent="0.3">
      <c r="A5" s="1" t="s">
        <v>7</v>
      </c>
      <c r="B5" s="7">
        <v>12</v>
      </c>
      <c r="C5" s="8" t="s">
        <v>3</v>
      </c>
      <c r="D5" s="8" t="s">
        <v>8</v>
      </c>
      <c r="E5" s="46">
        <v>576000</v>
      </c>
      <c r="F5" s="10"/>
      <c r="G5" s="11">
        <v>384000</v>
      </c>
    </row>
    <row r="6" spans="1:7" ht="18.75" x14ac:dyDescent="0.3">
      <c r="A6" s="2" t="s">
        <v>174</v>
      </c>
      <c r="B6" s="12">
        <v>58</v>
      </c>
      <c r="C6" s="5"/>
      <c r="D6" s="50">
        <f>B6*C6</f>
        <v>0</v>
      </c>
      <c r="E6" s="21">
        <v>0.6</v>
      </c>
      <c r="F6" s="10"/>
      <c r="G6" s="21">
        <v>0.4</v>
      </c>
    </row>
    <row r="7" spans="1:7" ht="18.75" x14ac:dyDescent="0.3">
      <c r="A7" s="2" t="s">
        <v>498</v>
      </c>
      <c r="B7" s="12">
        <v>86</v>
      </c>
      <c r="C7" s="3">
        <v>120</v>
      </c>
      <c r="D7" s="50">
        <f t="shared" ref="D7:D17" si="0">B7*C7</f>
        <v>10320</v>
      </c>
      <c r="E7" s="10"/>
      <c r="F7" s="10"/>
      <c r="G7" s="10"/>
    </row>
    <row r="8" spans="1:7" ht="18.75" x14ac:dyDescent="0.3">
      <c r="A8" s="2" t="s">
        <v>499</v>
      </c>
      <c r="B8" s="12">
        <v>89</v>
      </c>
      <c r="C8" s="3"/>
      <c r="D8" s="50">
        <f t="shared" si="0"/>
        <v>0</v>
      </c>
      <c r="E8" s="10"/>
      <c r="F8" s="10"/>
      <c r="G8" s="10"/>
    </row>
    <row r="9" spans="1:7" ht="18.75" x14ac:dyDescent="0.3">
      <c r="A9" s="2" t="s">
        <v>500</v>
      </c>
      <c r="B9" s="12">
        <v>70</v>
      </c>
      <c r="C9" s="5"/>
      <c r="D9" s="50">
        <f t="shared" si="0"/>
        <v>0</v>
      </c>
      <c r="E9" s="10"/>
      <c r="F9" s="10"/>
      <c r="G9" s="10"/>
    </row>
    <row r="10" spans="1:7" ht="18.75" x14ac:dyDescent="0.3">
      <c r="A10" s="2" t="s">
        <v>418</v>
      </c>
      <c r="B10" s="12">
        <v>60</v>
      </c>
      <c r="C10" s="3"/>
      <c r="D10" s="50">
        <f t="shared" si="0"/>
        <v>0</v>
      </c>
      <c r="E10" s="10"/>
      <c r="F10" s="10"/>
      <c r="G10" s="14">
        <f>E5-D21-D22-D23-D24-D25-D26-D27-D28-D29-D30-D31-D32-D33-D34</f>
        <v>351000</v>
      </c>
    </row>
    <row r="11" spans="1:7" ht="18.75" x14ac:dyDescent="0.3">
      <c r="A11" s="2" t="s">
        <v>501</v>
      </c>
      <c r="B11" s="12">
        <v>120</v>
      </c>
      <c r="C11" s="3">
        <v>448</v>
      </c>
      <c r="D11" s="50">
        <f t="shared" si="0"/>
        <v>53760</v>
      </c>
      <c r="E11" s="10"/>
      <c r="F11" s="10"/>
    </row>
    <row r="12" spans="1:7" ht="18.75" x14ac:dyDescent="0.3">
      <c r="A12" s="2" t="s">
        <v>502</v>
      </c>
      <c r="B12" s="12">
        <v>200</v>
      </c>
      <c r="C12" s="3">
        <v>480</v>
      </c>
      <c r="D12" s="50">
        <f t="shared" si="0"/>
        <v>96000</v>
      </c>
      <c r="E12" s="10"/>
      <c r="F12" s="10"/>
    </row>
    <row r="13" spans="1:7" ht="18.75" x14ac:dyDescent="0.3">
      <c r="A13" s="2" t="s">
        <v>503</v>
      </c>
      <c r="B13" s="15">
        <v>30</v>
      </c>
      <c r="C13" s="3"/>
      <c r="D13" s="50">
        <f t="shared" si="0"/>
        <v>0</v>
      </c>
      <c r="E13" s="10"/>
      <c r="F13" s="10"/>
    </row>
    <row r="14" spans="1:7" ht="18.75" x14ac:dyDescent="0.3">
      <c r="A14" s="2" t="s">
        <v>504</v>
      </c>
      <c r="B14" s="12">
        <v>43</v>
      </c>
      <c r="C14" s="3"/>
      <c r="D14" s="50">
        <f t="shared" si="0"/>
        <v>0</v>
      </c>
      <c r="E14" s="10"/>
      <c r="F14" s="98"/>
    </row>
    <row r="15" spans="1:7" ht="18.75" x14ac:dyDescent="0.3">
      <c r="A15" s="2" t="s">
        <v>524</v>
      </c>
      <c r="B15" s="15">
        <v>30</v>
      </c>
      <c r="C15" s="3">
        <v>480</v>
      </c>
      <c r="D15" s="50">
        <f t="shared" si="0"/>
        <v>14400</v>
      </c>
      <c r="E15" s="10"/>
      <c r="F15" s="99"/>
    </row>
    <row r="16" spans="1:7" ht="18.75" x14ac:dyDescent="0.3">
      <c r="A16" s="2" t="s">
        <v>67</v>
      </c>
      <c r="B16" s="15">
        <v>399</v>
      </c>
      <c r="C16" s="3"/>
      <c r="D16" s="50">
        <f t="shared" si="0"/>
        <v>0</v>
      </c>
      <c r="E16" s="10"/>
      <c r="F16" s="17"/>
    </row>
    <row r="17" spans="1:7" ht="18.75" x14ac:dyDescent="0.3">
      <c r="A17" s="2" t="s">
        <v>532</v>
      </c>
      <c r="B17" s="12">
        <v>30</v>
      </c>
      <c r="C17" s="3">
        <v>480</v>
      </c>
      <c r="D17" s="13">
        <f t="shared" si="0"/>
        <v>14400</v>
      </c>
      <c r="E17" s="10"/>
      <c r="F17" s="10"/>
    </row>
    <row r="18" spans="1:7" ht="18.75" x14ac:dyDescent="0.3">
      <c r="A18" s="2"/>
      <c r="B18" s="12"/>
      <c r="C18" s="3"/>
      <c r="D18" s="13"/>
      <c r="E18" s="10"/>
      <c r="F18" s="10"/>
    </row>
    <row r="19" spans="1:7" ht="18.75" x14ac:dyDescent="0.3">
      <c r="A19" s="18"/>
      <c r="B19" s="19"/>
      <c r="C19" s="20"/>
      <c r="D19" s="13"/>
      <c r="E19" s="10"/>
      <c r="F19" s="10"/>
    </row>
    <row r="20" spans="1:7" ht="18.75" x14ac:dyDescent="0.3">
      <c r="A20" s="1" t="s">
        <v>10</v>
      </c>
      <c r="B20" s="1" t="s">
        <v>11</v>
      </c>
      <c r="C20" s="1" t="s">
        <v>12</v>
      </c>
      <c r="D20" s="1" t="s">
        <v>13</v>
      </c>
      <c r="E20" s="1" t="s">
        <v>14</v>
      </c>
      <c r="F20" s="10"/>
    </row>
    <row r="21" spans="1:7" ht="18.75" x14ac:dyDescent="0.3">
      <c r="A21" s="3" t="s">
        <v>205</v>
      </c>
      <c r="B21" s="4" t="s">
        <v>531</v>
      </c>
      <c r="C21" s="3">
        <v>480</v>
      </c>
      <c r="D21" s="49">
        <v>96000</v>
      </c>
      <c r="E21" s="3"/>
      <c r="F21" s="10"/>
    </row>
    <row r="22" spans="1:7" ht="18.75" x14ac:dyDescent="0.3">
      <c r="A22" s="3" t="s">
        <v>113</v>
      </c>
      <c r="B22" s="4" t="s">
        <v>533</v>
      </c>
      <c r="C22" s="3">
        <v>480</v>
      </c>
      <c r="D22" s="49">
        <v>7200</v>
      </c>
      <c r="E22" s="5"/>
      <c r="F22" s="10"/>
    </row>
    <row r="23" spans="1:7" ht="18.75" x14ac:dyDescent="0.3">
      <c r="A23" s="3" t="s">
        <v>59</v>
      </c>
      <c r="B23" s="4" t="s">
        <v>534</v>
      </c>
      <c r="C23" s="3">
        <v>480</v>
      </c>
      <c r="D23" s="49">
        <v>53760</v>
      </c>
      <c r="E23" s="5"/>
      <c r="F23" s="10"/>
    </row>
    <row r="24" spans="1:7" ht="18.75" x14ac:dyDescent="0.3">
      <c r="A24" s="3" t="s">
        <v>104</v>
      </c>
      <c r="B24" s="4" t="s">
        <v>524</v>
      </c>
      <c r="C24" s="5">
        <v>480</v>
      </c>
      <c r="D24" s="49">
        <v>14400</v>
      </c>
      <c r="E24" s="3"/>
      <c r="F24" s="10"/>
    </row>
    <row r="25" spans="1:7" ht="18.75" x14ac:dyDescent="0.3">
      <c r="A25" s="6" t="s">
        <v>379</v>
      </c>
      <c r="B25" s="6" t="s">
        <v>573</v>
      </c>
      <c r="C25" s="6">
        <v>480</v>
      </c>
      <c r="D25" s="49">
        <v>27840</v>
      </c>
      <c r="E25" s="5"/>
      <c r="F25" s="10"/>
    </row>
    <row r="26" spans="1:7" ht="18.75" x14ac:dyDescent="0.3">
      <c r="A26" s="76"/>
      <c r="B26" s="76" t="s">
        <v>570</v>
      </c>
      <c r="C26" s="76"/>
      <c r="D26" s="63"/>
      <c r="E26" s="5"/>
      <c r="F26" s="10"/>
    </row>
    <row r="27" spans="1:7" ht="18.75" x14ac:dyDescent="0.3">
      <c r="A27" s="3" t="s">
        <v>104</v>
      </c>
      <c r="B27" s="6" t="s">
        <v>574</v>
      </c>
      <c r="C27" s="3">
        <v>180</v>
      </c>
      <c r="D27" s="58">
        <v>15480</v>
      </c>
      <c r="E27" s="5"/>
      <c r="F27" s="10"/>
    </row>
    <row r="28" spans="1:7" ht="18.75" x14ac:dyDescent="0.3">
      <c r="A28" s="3" t="s">
        <v>16</v>
      </c>
      <c r="B28" s="6" t="s">
        <v>600</v>
      </c>
      <c r="C28" s="3">
        <v>120</v>
      </c>
      <c r="D28" s="58">
        <v>10320</v>
      </c>
      <c r="E28" s="3"/>
      <c r="F28" s="10"/>
    </row>
    <row r="29" spans="1:7" ht="18.75" x14ac:dyDescent="0.3">
      <c r="A29" s="3"/>
      <c r="B29" s="6"/>
      <c r="C29" s="3"/>
      <c r="D29" s="58"/>
      <c r="E29" s="3"/>
      <c r="F29" s="10"/>
    </row>
    <row r="30" spans="1:7" ht="18.75" x14ac:dyDescent="0.3">
      <c r="A30" s="3"/>
      <c r="B30" s="6"/>
      <c r="C30" s="3"/>
      <c r="D30" s="58"/>
      <c r="E30" s="3"/>
      <c r="F30" s="10"/>
    </row>
    <row r="31" spans="1:7" ht="18.75" x14ac:dyDescent="0.3">
      <c r="A31" s="3"/>
      <c r="B31" s="6"/>
      <c r="C31" s="3"/>
      <c r="D31" s="58"/>
      <c r="E31" s="3"/>
      <c r="F31" s="10"/>
      <c r="G31" s="10"/>
    </row>
    <row r="32" spans="1:7" ht="18.75" x14ac:dyDescent="0.3">
      <c r="A32" s="3"/>
      <c r="B32" s="6"/>
      <c r="C32" s="3"/>
      <c r="D32" s="58"/>
      <c r="E32" s="3"/>
      <c r="F32" s="10"/>
    </row>
    <row r="33" spans="1:7" ht="18.75" x14ac:dyDescent="0.3">
      <c r="A33" s="3"/>
      <c r="B33" s="6"/>
      <c r="C33" s="3"/>
      <c r="D33" s="58"/>
      <c r="E33" s="37"/>
    </row>
    <row r="34" spans="1:7" ht="18.75" x14ac:dyDescent="0.3">
      <c r="A34" s="3"/>
      <c r="B34" s="6"/>
      <c r="C34" s="3"/>
      <c r="D34" s="58"/>
      <c r="E34" s="37"/>
    </row>
    <row r="37" spans="1:7" ht="18.75" x14ac:dyDescent="0.3">
      <c r="A37" s="35" t="s">
        <v>0</v>
      </c>
      <c r="B37" s="35" t="s">
        <v>1</v>
      </c>
      <c r="C37" s="35" t="s">
        <v>2</v>
      </c>
      <c r="D37" s="35" t="s">
        <v>3</v>
      </c>
      <c r="E37" s="35" t="s">
        <v>4</v>
      </c>
      <c r="F37" s="35" t="s">
        <v>5</v>
      </c>
      <c r="G37" s="35" t="s">
        <v>6</v>
      </c>
    </row>
    <row r="38" spans="1:7" ht="18.75" x14ac:dyDescent="0.3">
      <c r="A38" s="22">
        <v>1</v>
      </c>
      <c r="B38" s="22" t="s">
        <v>509</v>
      </c>
      <c r="C38" s="23" t="s">
        <v>523</v>
      </c>
      <c r="D38" s="24">
        <v>480</v>
      </c>
      <c r="E38" s="22">
        <v>1000</v>
      </c>
      <c r="F38" s="25" t="s">
        <v>510</v>
      </c>
      <c r="G38" s="26">
        <f>D38*E38</f>
        <v>480000</v>
      </c>
    </row>
    <row r="39" spans="1:7" ht="18.75" x14ac:dyDescent="0.3">
      <c r="A39" s="1" t="s">
        <v>7</v>
      </c>
      <c r="B39" s="7"/>
      <c r="C39" s="8" t="s">
        <v>3</v>
      </c>
      <c r="D39" s="8" t="s">
        <v>8</v>
      </c>
      <c r="E39" s="46">
        <v>288000</v>
      </c>
      <c r="F39" s="10"/>
      <c r="G39" s="11">
        <v>192000</v>
      </c>
    </row>
    <row r="40" spans="1:7" ht="18.75" x14ac:dyDescent="0.3">
      <c r="A40" s="2" t="s">
        <v>335</v>
      </c>
      <c r="B40" s="12">
        <v>75</v>
      </c>
      <c r="C40" s="5">
        <v>480</v>
      </c>
      <c r="D40" s="50">
        <f>B40*C40</f>
        <v>36000</v>
      </c>
      <c r="E40" s="21">
        <v>0.6</v>
      </c>
      <c r="F40" s="10"/>
      <c r="G40" s="21">
        <v>0.4</v>
      </c>
    </row>
    <row r="41" spans="1:7" ht="18.75" x14ac:dyDescent="0.3">
      <c r="A41" s="2" t="s">
        <v>86</v>
      </c>
      <c r="B41" s="12">
        <v>60</v>
      </c>
      <c r="C41" s="3">
        <v>480</v>
      </c>
      <c r="D41" s="50">
        <f t="shared" ref="D41:D49" si="1">B41*C41</f>
        <v>28800</v>
      </c>
      <c r="E41" s="10"/>
      <c r="F41" s="10"/>
      <c r="G41" s="10"/>
    </row>
    <row r="42" spans="1:7" ht="18.75" x14ac:dyDescent="0.3">
      <c r="A42" s="2" t="s">
        <v>567</v>
      </c>
      <c r="B42" s="12">
        <v>30</v>
      </c>
      <c r="C42" s="3">
        <v>480</v>
      </c>
      <c r="D42" s="50">
        <f t="shared" si="1"/>
        <v>14400</v>
      </c>
      <c r="E42" s="10"/>
      <c r="F42" s="10"/>
      <c r="G42" s="10"/>
    </row>
    <row r="43" spans="1:7" ht="18.75" x14ac:dyDescent="0.3">
      <c r="A43" s="2" t="s">
        <v>621</v>
      </c>
      <c r="B43" s="12">
        <v>77</v>
      </c>
      <c r="C43" s="5">
        <v>120</v>
      </c>
      <c r="D43" s="50">
        <f t="shared" si="1"/>
        <v>9240</v>
      </c>
      <c r="E43" s="10"/>
      <c r="F43" s="10"/>
      <c r="G43" s="10"/>
    </row>
    <row r="44" spans="1:7" ht="18.75" x14ac:dyDescent="0.3">
      <c r="A44" s="2" t="s">
        <v>89</v>
      </c>
      <c r="B44" s="12">
        <v>60</v>
      </c>
      <c r="C44" s="3">
        <v>480</v>
      </c>
      <c r="D44" s="50">
        <f t="shared" si="1"/>
        <v>28800</v>
      </c>
      <c r="E44" s="10"/>
      <c r="F44" s="10"/>
      <c r="G44" s="14">
        <f>E39-D55-D56-D57-D58-D59-D60-D61-D62-D63-D64-D65-D66-D67-D68</f>
        <v>109680</v>
      </c>
    </row>
    <row r="45" spans="1:7" ht="18.75" x14ac:dyDescent="0.3">
      <c r="A45" s="2" t="s">
        <v>101</v>
      </c>
      <c r="B45" s="12">
        <v>43</v>
      </c>
      <c r="C45" s="3">
        <v>480</v>
      </c>
      <c r="D45" s="50">
        <f t="shared" si="1"/>
        <v>20640</v>
      </c>
      <c r="E45" s="10"/>
      <c r="F45" s="10"/>
    </row>
    <row r="46" spans="1:7" ht="18.75" x14ac:dyDescent="0.3">
      <c r="A46" s="2" t="s">
        <v>339</v>
      </c>
      <c r="B46" s="12">
        <v>65</v>
      </c>
      <c r="C46" s="3">
        <v>480</v>
      </c>
      <c r="D46" s="50">
        <f t="shared" si="1"/>
        <v>31200</v>
      </c>
      <c r="E46" s="10"/>
      <c r="F46" s="10"/>
    </row>
    <row r="47" spans="1:7" ht="18.75" x14ac:dyDescent="0.3">
      <c r="A47" s="2" t="s">
        <v>84</v>
      </c>
      <c r="B47" s="15">
        <v>190</v>
      </c>
      <c r="C47" s="3"/>
      <c r="D47" s="50">
        <f t="shared" si="1"/>
        <v>0</v>
      </c>
      <c r="E47" s="10"/>
      <c r="F47" s="10"/>
    </row>
    <row r="48" spans="1:7" ht="18.75" x14ac:dyDescent="0.3">
      <c r="A48" s="2"/>
      <c r="B48" s="12"/>
      <c r="C48" s="3"/>
      <c r="D48" s="50">
        <f t="shared" si="1"/>
        <v>0</v>
      </c>
      <c r="E48" s="10"/>
      <c r="F48" s="10"/>
    </row>
    <row r="49" spans="1:6" ht="18.75" x14ac:dyDescent="0.3">
      <c r="A49" s="2"/>
      <c r="B49" s="15"/>
      <c r="C49" s="3"/>
      <c r="D49" s="50">
        <f t="shared" si="1"/>
        <v>0</v>
      </c>
      <c r="E49" s="10"/>
      <c r="F49" s="16"/>
    </row>
    <row r="50" spans="1:6" ht="18.75" x14ac:dyDescent="0.3">
      <c r="A50" s="2"/>
      <c r="B50" s="15"/>
      <c r="C50" s="3"/>
      <c r="D50" s="50"/>
      <c r="E50" s="10"/>
      <c r="F50" s="17"/>
    </row>
    <row r="51" spans="1:6" ht="18.75" x14ac:dyDescent="0.3">
      <c r="A51" s="2"/>
      <c r="B51" s="12"/>
      <c r="C51" s="3"/>
      <c r="D51" s="13"/>
      <c r="E51" s="10"/>
      <c r="F51" s="10"/>
    </row>
    <row r="52" spans="1:6" ht="18.75" x14ac:dyDescent="0.3">
      <c r="A52" s="2"/>
      <c r="B52" s="12"/>
      <c r="C52" s="3"/>
      <c r="D52" s="13"/>
      <c r="E52" s="10"/>
      <c r="F52" s="10"/>
    </row>
    <row r="53" spans="1:6" ht="18.75" x14ac:dyDescent="0.3">
      <c r="A53" s="18"/>
      <c r="B53" s="19"/>
      <c r="C53" s="20"/>
      <c r="D53" s="13"/>
      <c r="E53" s="10"/>
      <c r="F53" s="10"/>
    </row>
    <row r="54" spans="1:6" ht="18.75" x14ac:dyDescent="0.3">
      <c r="A54" s="1" t="s">
        <v>10</v>
      </c>
      <c r="B54" s="1" t="s">
        <v>11</v>
      </c>
      <c r="C54" s="1" t="s">
        <v>12</v>
      </c>
      <c r="D54" s="1" t="s">
        <v>13</v>
      </c>
      <c r="E54" s="1" t="s">
        <v>14</v>
      </c>
      <c r="F54" s="10"/>
    </row>
    <row r="55" spans="1:6" ht="18.75" x14ac:dyDescent="0.3">
      <c r="A55" s="3" t="s">
        <v>42</v>
      </c>
      <c r="B55" s="4" t="s">
        <v>525</v>
      </c>
      <c r="C55" s="3">
        <v>480</v>
      </c>
      <c r="D55" s="49">
        <v>36000</v>
      </c>
      <c r="E55" s="3"/>
      <c r="F55" s="10"/>
    </row>
    <row r="56" spans="1:6" ht="18.75" x14ac:dyDescent="0.3">
      <c r="A56" s="3" t="s">
        <v>42</v>
      </c>
      <c r="B56" s="4" t="s">
        <v>529</v>
      </c>
      <c r="C56" s="3">
        <v>480</v>
      </c>
      <c r="D56" s="49">
        <v>28800</v>
      </c>
      <c r="E56" s="5"/>
      <c r="F56" s="10"/>
    </row>
    <row r="57" spans="1:6" ht="18.75" x14ac:dyDescent="0.3">
      <c r="A57" s="3" t="s">
        <v>42</v>
      </c>
      <c r="B57" s="4" t="s">
        <v>530</v>
      </c>
      <c r="C57" s="3">
        <v>480</v>
      </c>
      <c r="D57" s="49">
        <v>28800</v>
      </c>
      <c r="E57" s="5"/>
      <c r="F57" s="10"/>
    </row>
    <row r="58" spans="1:6" ht="18.75" x14ac:dyDescent="0.3">
      <c r="A58" s="3" t="s">
        <v>104</v>
      </c>
      <c r="B58" s="4" t="s">
        <v>568</v>
      </c>
      <c r="C58" s="5">
        <v>480</v>
      </c>
      <c r="D58" s="49">
        <v>14400</v>
      </c>
      <c r="E58" s="3"/>
      <c r="F58" s="10"/>
    </row>
    <row r="59" spans="1:6" ht="18.75" x14ac:dyDescent="0.3">
      <c r="A59" s="76"/>
      <c r="B59" s="77" t="s">
        <v>570</v>
      </c>
      <c r="C59" s="76"/>
      <c r="D59" s="63"/>
      <c r="E59" s="5"/>
      <c r="F59" s="10"/>
    </row>
    <row r="60" spans="1:6" ht="18.75" x14ac:dyDescent="0.3">
      <c r="A60" s="3" t="s">
        <v>42</v>
      </c>
      <c r="B60" s="6" t="s">
        <v>592</v>
      </c>
      <c r="C60" s="3">
        <v>480</v>
      </c>
      <c r="D60" s="58">
        <v>20640</v>
      </c>
      <c r="E60" s="5"/>
      <c r="F60" s="10"/>
    </row>
    <row r="61" spans="1:6" ht="18.75" x14ac:dyDescent="0.3">
      <c r="A61" s="3" t="s">
        <v>15</v>
      </c>
      <c r="B61" s="6" t="s">
        <v>622</v>
      </c>
      <c r="C61" s="3">
        <v>120</v>
      </c>
      <c r="D61" s="58">
        <v>9240</v>
      </c>
      <c r="E61" s="5"/>
      <c r="F61" s="10"/>
    </row>
    <row r="62" spans="1:6" ht="18.75" x14ac:dyDescent="0.3">
      <c r="A62" s="3" t="s">
        <v>16</v>
      </c>
      <c r="B62" s="6" t="s">
        <v>622</v>
      </c>
      <c r="C62" s="3">
        <v>120</v>
      </c>
      <c r="D62" s="58">
        <v>9240</v>
      </c>
      <c r="E62" s="3"/>
      <c r="F62" s="10"/>
    </row>
    <row r="63" spans="1:6" ht="18.75" x14ac:dyDescent="0.3">
      <c r="A63" s="3"/>
      <c r="B63" s="6"/>
      <c r="C63" s="3"/>
      <c r="D63" s="58"/>
      <c r="E63" s="3"/>
      <c r="F63" s="10"/>
    </row>
    <row r="64" spans="1:6" ht="18.75" x14ac:dyDescent="0.3">
      <c r="A64" s="3" t="s">
        <v>659</v>
      </c>
      <c r="B64" s="6" t="s">
        <v>660</v>
      </c>
      <c r="C64" s="3">
        <v>480</v>
      </c>
      <c r="D64" s="58">
        <v>31200</v>
      </c>
      <c r="E64" s="3"/>
      <c r="F64" s="10"/>
    </row>
    <row r="65" spans="1:7" ht="18.75" x14ac:dyDescent="0.3">
      <c r="A65" s="3"/>
      <c r="B65" s="6"/>
      <c r="C65" s="3"/>
      <c r="D65" s="58"/>
      <c r="E65" s="3"/>
      <c r="F65" s="10"/>
      <c r="G65" s="10"/>
    </row>
    <row r="66" spans="1:7" ht="18.75" x14ac:dyDescent="0.3">
      <c r="A66" s="3"/>
      <c r="B66" s="6"/>
      <c r="C66" s="3"/>
      <c r="D66" s="58"/>
      <c r="E66" s="3"/>
      <c r="F66" s="10"/>
    </row>
    <row r="67" spans="1:7" ht="18.75" x14ac:dyDescent="0.3">
      <c r="A67" s="3"/>
      <c r="B67" s="6"/>
      <c r="C67" s="3"/>
      <c r="D67" s="58"/>
      <c r="E67" s="37"/>
    </row>
    <row r="68" spans="1:7" ht="18.75" x14ac:dyDescent="0.3">
      <c r="A68" s="3"/>
      <c r="B68" s="6"/>
      <c r="C68" s="3"/>
      <c r="D68" s="58"/>
      <c r="E68" s="37"/>
    </row>
    <row r="70" spans="1:7" x14ac:dyDescent="0.25">
      <c r="B70" s="134" t="s">
        <v>505</v>
      </c>
      <c r="C70" s="134"/>
      <c r="D70" s="134"/>
    </row>
    <row r="71" spans="1:7" x14ac:dyDescent="0.25">
      <c r="B71" s="134"/>
      <c r="C71" s="134"/>
      <c r="D71" s="134"/>
    </row>
    <row r="72" spans="1:7" ht="18.75" x14ac:dyDescent="0.3">
      <c r="A72" s="35" t="s">
        <v>0</v>
      </c>
      <c r="B72" s="35" t="s">
        <v>1</v>
      </c>
      <c r="C72" s="35" t="s">
        <v>2</v>
      </c>
      <c r="D72" s="35" t="s">
        <v>3</v>
      </c>
      <c r="E72" s="35" t="s">
        <v>4</v>
      </c>
      <c r="F72" s="35" t="s">
        <v>5</v>
      </c>
      <c r="G72" s="35" t="s">
        <v>6</v>
      </c>
    </row>
    <row r="73" spans="1:7" ht="18.75" x14ac:dyDescent="0.3">
      <c r="A73" s="22"/>
      <c r="B73" s="22" t="s">
        <v>509</v>
      </c>
      <c r="C73" s="23" t="s">
        <v>497</v>
      </c>
      <c r="D73" s="24">
        <v>480</v>
      </c>
      <c r="E73" s="22">
        <v>3000</v>
      </c>
      <c r="F73" s="25" t="s">
        <v>510</v>
      </c>
      <c r="G73" s="26">
        <f>D73*E73</f>
        <v>1440000</v>
      </c>
    </row>
    <row r="74" spans="1:7" ht="18.75" x14ac:dyDescent="0.3">
      <c r="A74" s="1" t="s">
        <v>7</v>
      </c>
      <c r="B74" s="7">
        <v>5.4</v>
      </c>
      <c r="C74" s="8" t="s">
        <v>3</v>
      </c>
      <c r="D74" s="8" t="s">
        <v>8</v>
      </c>
      <c r="E74" s="46">
        <v>864000</v>
      </c>
      <c r="F74" s="10"/>
      <c r="G74" s="11">
        <v>576000</v>
      </c>
    </row>
    <row r="75" spans="1:7" ht="18.75" x14ac:dyDescent="0.3">
      <c r="A75" s="2" t="s">
        <v>174</v>
      </c>
      <c r="B75" s="12">
        <v>58</v>
      </c>
      <c r="C75" s="5"/>
      <c r="D75" s="50">
        <f>B75*C75</f>
        <v>0</v>
      </c>
      <c r="E75" s="21">
        <v>0.6</v>
      </c>
      <c r="F75" s="10"/>
      <c r="G75" s="21">
        <v>0.4</v>
      </c>
    </row>
    <row r="76" spans="1:7" ht="18.75" x14ac:dyDescent="0.3">
      <c r="A76" s="2" t="s">
        <v>498</v>
      </c>
      <c r="B76" s="12">
        <v>86</v>
      </c>
      <c r="C76" s="3"/>
      <c r="D76" s="50">
        <f t="shared" ref="D76:D84" si="2">B76*C76</f>
        <v>0</v>
      </c>
      <c r="E76" s="10"/>
      <c r="F76" s="10"/>
      <c r="G76" s="10"/>
    </row>
    <row r="77" spans="1:7" ht="18.75" x14ac:dyDescent="0.3">
      <c r="A77" s="2" t="s">
        <v>499</v>
      </c>
      <c r="B77" s="12">
        <v>89</v>
      </c>
      <c r="C77" s="3"/>
      <c r="D77" s="50">
        <f t="shared" si="2"/>
        <v>0</v>
      </c>
      <c r="E77" s="10"/>
      <c r="F77" s="10"/>
      <c r="G77" s="10"/>
    </row>
    <row r="78" spans="1:7" ht="18.75" x14ac:dyDescent="0.3">
      <c r="A78" s="2" t="s">
        <v>500</v>
      </c>
      <c r="B78" s="12">
        <v>70</v>
      </c>
      <c r="C78" s="5"/>
      <c r="D78" s="50">
        <f t="shared" si="2"/>
        <v>0</v>
      </c>
      <c r="E78" s="10"/>
      <c r="F78" s="10"/>
      <c r="G78" s="10"/>
    </row>
    <row r="79" spans="1:7" ht="18.75" x14ac:dyDescent="0.3">
      <c r="A79" s="2" t="s">
        <v>418</v>
      </c>
      <c r="B79" s="12">
        <v>60</v>
      </c>
      <c r="C79" s="3"/>
      <c r="D79" s="50">
        <f t="shared" si="2"/>
        <v>0</v>
      </c>
      <c r="E79" s="10"/>
      <c r="F79" s="10"/>
      <c r="G79" s="14">
        <f>E74-D90-D91-D92-D93-D94-D95-D96-D97-D98-D99-D100-D101-D102-D103</f>
        <v>864000</v>
      </c>
    </row>
    <row r="80" spans="1:7" ht="18.75" x14ac:dyDescent="0.3">
      <c r="A80" s="2" t="s">
        <v>501</v>
      </c>
      <c r="B80" s="12">
        <v>120</v>
      </c>
      <c r="C80" s="3"/>
      <c r="D80" s="50">
        <f t="shared" si="2"/>
        <v>0</v>
      </c>
      <c r="E80" s="10"/>
      <c r="F80" s="10"/>
    </row>
    <row r="81" spans="1:6" ht="18.75" x14ac:dyDescent="0.3">
      <c r="A81" s="2" t="s">
        <v>502</v>
      </c>
      <c r="B81" s="12">
        <v>200</v>
      </c>
      <c r="C81" s="3"/>
      <c r="D81" s="50">
        <f t="shared" si="2"/>
        <v>0</v>
      </c>
      <c r="E81" s="10"/>
      <c r="F81" s="10"/>
    </row>
    <row r="82" spans="1:6" ht="18.75" x14ac:dyDescent="0.3">
      <c r="A82" s="2" t="s">
        <v>503</v>
      </c>
      <c r="B82" s="15">
        <v>30</v>
      </c>
      <c r="C82" s="3"/>
      <c r="D82" s="50">
        <f t="shared" si="2"/>
        <v>0</v>
      </c>
      <c r="E82" s="10"/>
      <c r="F82" s="10"/>
    </row>
    <row r="83" spans="1:6" ht="18.75" x14ac:dyDescent="0.3">
      <c r="A83" s="2" t="s">
        <v>504</v>
      </c>
      <c r="B83" s="12">
        <v>43</v>
      </c>
      <c r="C83" s="3"/>
      <c r="D83" s="50">
        <f t="shared" si="2"/>
        <v>0</v>
      </c>
      <c r="E83" s="10"/>
      <c r="F83" s="10"/>
    </row>
    <row r="84" spans="1:6" ht="18.75" x14ac:dyDescent="0.3">
      <c r="A84" s="2"/>
      <c r="B84" s="15"/>
      <c r="C84" s="3"/>
      <c r="D84" s="50">
        <f t="shared" si="2"/>
        <v>0</v>
      </c>
      <c r="E84" s="10"/>
      <c r="F84" s="16"/>
    </row>
    <row r="85" spans="1:6" ht="18.75" x14ac:dyDescent="0.3">
      <c r="A85" s="2"/>
      <c r="B85" s="15"/>
      <c r="C85" s="3"/>
      <c r="D85" s="50"/>
      <c r="E85" s="10"/>
      <c r="F85" s="17"/>
    </row>
    <row r="86" spans="1:6" ht="18.75" x14ac:dyDescent="0.3">
      <c r="A86" s="2"/>
      <c r="B86" s="12"/>
      <c r="C86" s="3"/>
      <c r="D86" s="13"/>
      <c r="E86" s="10"/>
      <c r="F86" s="10"/>
    </row>
    <row r="87" spans="1:6" ht="18.75" x14ac:dyDescent="0.3">
      <c r="A87" s="2"/>
      <c r="B87" s="12"/>
      <c r="C87" s="3"/>
      <c r="D87" s="13"/>
      <c r="E87" s="10"/>
      <c r="F87" s="10"/>
    </row>
    <row r="88" spans="1:6" ht="18.75" x14ac:dyDescent="0.3">
      <c r="A88" s="18"/>
      <c r="B88" s="19"/>
      <c r="C88" s="20"/>
      <c r="D88" s="13"/>
      <c r="E88" s="10"/>
      <c r="F88" s="10"/>
    </row>
    <row r="89" spans="1:6" ht="18.75" x14ac:dyDescent="0.3">
      <c r="A89" s="1" t="s">
        <v>10</v>
      </c>
      <c r="B89" s="1" t="s">
        <v>11</v>
      </c>
      <c r="C89" s="1" t="s">
        <v>12</v>
      </c>
      <c r="D89" s="1" t="s">
        <v>13</v>
      </c>
      <c r="E89" s="1" t="s">
        <v>14</v>
      </c>
      <c r="F89" s="10"/>
    </row>
    <row r="90" spans="1:6" ht="18.75" x14ac:dyDescent="0.3">
      <c r="A90" s="3"/>
      <c r="B90" s="4"/>
      <c r="C90" s="3"/>
      <c r="D90" s="49"/>
      <c r="E90" s="3"/>
      <c r="F90" s="10"/>
    </row>
    <row r="91" spans="1:6" ht="18.75" x14ac:dyDescent="0.3">
      <c r="A91" s="3"/>
      <c r="B91" s="4"/>
      <c r="C91" s="3"/>
      <c r="D91" s="49"/>
      <c r="E91" s="5"/>
      <c r="F91" s="10"/>
    </row>
    <row r="92" spans="1:6" ht="18.75" x14ac:dyDescent="0.3">
      <c r="A92" s="3"/>
      <c r="B92" s="4"/>
      <c r="C92" s="3"/>
      <c r="D92" s="49"/>
      <c r="E92" s="5"/>
      <c r="F92" s="10"/>
    </row>
    <row r="93" spans="1:6" ht="18.75" x14ac:dyDescent="0.3">
      <c r="A93" s="3"/>
      <c r="B93" s="4"/>
      <c r="C93" s="5"/>
      <c r="D93" s="49"/>
      <c r="E93" s="3"/>
      <c r="F93" s="10"/>
    </row>
    <row r="94" spans="1:6" ht="18.75" x14ac:dyDescent="0.3">
      <c r="A94" s="6"/>
      <c r="B94" s="4"/>
      <c r="C94" s="3"/>
      <c r="D94" s="49"/>
      <c r="E94" s="5"/>
      <c r="F94" s="10"/>
    </row>
    <row r="95" spans="1:6" ht="18.75" x14ac:dyDescent="0.3">
      <c r="A95" s="3"/>
      <c r="B95" s="4"/>
      <c r="C95" s="3"/>
      <c r="D95" s="49"/>
      <c r="E95" s="5"/>
      <c r="F95" s="10"/>
    </row>
    <row r="96" spans="1:6" ht="18.75" x14ac:dyDescent="0.3">
      <c r="A96" s="3"/>
      <c r="B96" s="4"/>
      <c r="C96" s="3"/>
      <c r="D96" s="49"/>
      <c r="E96" s="5"/>
      <c r="F96" s="10"/>
    </row>
    <row r="97" spans="1:7" ht="18.75" x14ac:dyDescent="0.3">
      <c r="A97" s="3"/>
      <c r="B97" s="4"/>
      <c r="C97" s="3"/>
      <c r="D97" s="49"/>
      <c r="E97" s="3"/>
      <c r="F97" s="10"/>
    </row>
    <row r="98" spans="1:7" ht="18.75" x14ac:dyDescent="0.3">
      <c r="A98" s="3"/>
      <c r="B98" s="4"/>
      <c r="C98" s="3"/>
      <c r="D98" s="49"/>
      <c r="E98" s="3"/>
      <c r="F98" s="10"/>
    </row>
    <row r="99" spans="1:7" ht="18.75" x14ac:dyDescent="0.3">
      <c r="A99" s="3"/>
      <c r="B99" s="4"/>
      <c r="C99" s="3"/>
      <c r="D99" s="49"/>
      <c r="E99" s="3"/>
      <c r="F99" s="10"/>
    </row>
    <row r="100" spans="1:7" ht="18.75" x14ac:dyDescent="0.3">
      <c r="A100" s="3"/>
      <c r="B100" s="4"/>
      <c r="C100" s="3"/>
      <c r="D100" s="49"/>
      <c r="E100" s="3"/>
      <c r="F100" s="10"/>
      <c r="G100" s="10"/>
    </row>
    <row r="101" spans="1:7" ht="18.75" x14ac:dyDescent="0.3">
      <c r="A101" s="3"/>
      <c r="B101" s="4"/>
      <c r="C101" s="3"/>
      <c r="D101" s="49"/>
      <c r="E101" s="3"/>
      <c r="F101" s="10"/>
    </row>
    <row r="102" spans="1:7" ht="18.75" x14ac:dyDescent="0.3">
      <c r="A102" s="3"/>
      <c r="B102" s="4"/>
      <c r="C102" s="3"/>
      <c r="D102" s="49"/>
      <c r="E102" s="37"/>
    </row>
    <row r="103" spans="1:7" ht="18.75" x14ac:dyDescent="0.3">
      <c r="A103" s="3"/>
      <c r="B103" s="4"/>
      <c r="C103" s="3"/>
      <c r="D103" s="49"/>
      <c r="E103" s="37"/>
    </row>
    <row r="109" spans="1:7" ht="18.75" x14ac:dyDescent="0.3">
      <c r="A109" s="35" t="s">
        <v>0</v>
      </c>
      <c r="B109" s="35" t="s">
        <v>1</v>
      </c>
      <c r="C109" s="35" t="s">
        <v>2</v>
      </c>
      <c r="D109" s="35" t="s">
        <v>3</v>
      </c>
      <c r="E109" s="35" t="s">
        <v>4</v>
      </c>
      <c r="F109" s="35" t="s">
        <v>5</v>
      </c>
      <c r="G109" s="35" t="s">
        <v>6</v>
      </c>
    </row>
    <row r="110" spans="1:7" ht="18.75" x14ac:dyDescent="0.3">
      <c r="A110" s="22"/>
      <c r="B110" s="22" t="s">
        <v>509</v>
      </c>
      <c r="C110" s="23" t="s">
        <v>497</v>
      </c>
      <c r="D110" s="24">
        <v>480</v>
      </c>
      <c r="E110" s="22">
        <v>3000</v>
      </c>
      <c r="F110" s="25" t="s">
        <v>510</v>
      </c>
      <c r="G110" s="26">
        <f>D110*E110</f>
        <v>1440000</v>
      </c>
    </row>
    <row r="111" spans="1:7" ht="18.75" x14ac:dyDescent="0.3">
      <c r="A111" s="1" t="s">
        <v>7</v>
      </c>
      <c r="B111" s="7">
        <v>5.4</v>
      </c>
      <c r="C111" s="8" t="s">
        <v>3</v>
      </c>
      <c r="D111" s="8" t="s">
        <v>8</v>
      </c>
      <c r="E111" s="46">
        <v>864000</v>
      </c>
      <c r="F111" s="10"/>
      <c r="G111" s="11">
        <v>576000</v>
      </c>
    </row>
    <row r="112" spans="1:7" ht="18.75" x14ac:dyDescent="0.3">
      <c r="A112" s="2" t="s">
        <v>174</v>
      </c>
      <c r="B112" s="12">
        <v>58</v>
      </c>
      <c r="C112" s="5"/>
      <c r="D112" s="50">
        <f>B112*C112</f>
        <v>0</v>
      </c>
      <c r="E112" s="21">
        <v>0.6</v>
      </c>
      <c r="F112" s="10"/>
      <c r="G112" s="21">
        <v>0.4</v>
      </c>
    </row>
    <row r="113" spans="1:7" ht="18.75" x14ac:dyDescent="0.3">
      <c r="A113" s="2" t="s">
        <v>498</v>
      </c>
      <c r="B113" s="12">
        <v>86</v>
      </c>
      <c r="C113" s="3"/>
      <c r="D113" s="50">
        <f t="shared" ref="D113:D121" si="3">B113*C113</f>
        <v>0</v>
      </c>
      <c r="E113" s="10"/>
      <c r="F113" s="10"/>
      <c r="G113" s="10"/>
    </row>
    <row r="114" spans="1:7" ht="18.75" x14ac:dyDescent="0.3">
      <c r="A114" s="2" t="s">
        <v>499</v>
      </c>
      <c r="B114" s="12">
        <v>89</v>
      </c>
      <c r="C114" s="3"/>
      <c r="D114" s="50">
        <f t="shared" si="3"/>
        <v>0</v>
      </c>
      <c r="E114" s="10"/>
      <c r="F114" s="10"/>
      <c r="G114" s="10"/>
    </row>
    <row r="115" spans="1:7" ht="18.75" x14ac:dyDescent="0.3">
      <c r="A115" s="2" t="s">
        <v>500</v>
      </c>
      <c r="B115" s="12">
        <v>70</v>
      </c>
      <c r="C115" s="5"/>
      <c r="D115" s="50">
        <f t="shared" si="3"/>
        <v>0</v>
      </c>
      <c r="E115" s="10"/>
      <c r="F115" s="10"/>
      <c r="G115" s="10"/>
    </row>
    <row r="116" spans="1:7" ht="18.75" x14ac:dyDescent="0.3">
      <c r="A116" s="2" t="s">
        <v>418</v>
      </c>
      <c r="B116" s="12">
        <v>60</v>
      </c>
      <c r="C116" s="3"/>
      <c r="D116" s="50">
        <f t="shared" si="3"/>
        <v>0</v>
      </c>
      <c r="E116" s="10"/>
      <c r="F116" s="10"/>
      <c r="G116" s="14">
        <f>E111-D127-D128-D129-D130-D131-D132-D133-D134-D135-D136-D137-D138-D139-D140</f>
        <v>864000</v>
      </c>
    </row>
    <row r="117" spans="1:7" ht="18.75" x14ac:dyDescent="0.3">
      <c r="A117" s="2" t="s">
        <v>501</v>
      </c>
      <c r="B117" s="12">
        <v>120</v>
      </c>
      <c r="C117" s="3"/>
      <c r="D117" s="50">
        <f t="shared" si="3"/>
        <v>0</v>
      </c>
      <c r="E117" s="10"/>
      <c r="F117" s="10"/>
    </row>
    <row r="118" spans="1:7" ht="18.75" x14ac:dyDescent="0.3">
      <c r="A118" s="2" t="s">
        <v>502</v>
      </c>
      <c r="B118" s="12">
        <v>200</v>
      </c>
      <c r="C118" s="3"/>
      <c r="D118" s="50">
        <f t="shared" si="3"/>
        <v>0</v>
      </c>
      <c r="E118" s="10"/>
      <c r="F118" s="10"/>
    </row>
    <row r="119" spans="1:7" ht="18.75" x14ac:dyDescent="0.3">
      <c r="A119" s="2" t="s">
        <v>503</v>
      </c>
      <c r="B119" s="15">
        <v>30</v>
      </c>
      <c r="C119" s="3"/>
      <c r="D119" s="50">
        <f t="shared" si="3"/>
        <v>0</v>
      </c>
      <c r="E119" s="10"/>
      <c r="F119" s="10"/>
    </row>
    <row r="120" spans="1:7" ht="18.75" x14ac:dyDescent="0.3">
      <c r="A120" s="2" t="s">
        <v>504</v>
      </c>
      <c r="B120" s="12">
        <v>43</v>
      </c>
      <c r="C120" s="3"/>
      <c r="D120" s="50">
        <f t="shared" si="3"/>
        <v>0</v>
      </c>
      <c r="E120" s="10"/>
      <c r="F120" s="10"/>
    </row>
    <row r="121" spans="1:7" ht="18.75" x14ac:dyDescent="0.3">
      <c r="A121" s="2"/>
      <c r="B121" s="15"/>
      <c r="C121" s="3"/>
      <c r="D121" s="50">
        <f t="shared" si="3"/>
        <v>0</v>
      </c>
      <c r="E121" s="10"/>
      <c r="F121" s="16"/>
    </row>
    <row r="122" spans="1:7" ht="18.75" x14ac:dyDescent="0.3">
      <c r="A122" s="2"/>
      <c r="B122" s="15"/>
      <c r="C122" s="3"/>
      <c r="D122" s="50"/>
      <c r="E122" s="10"/>
      <c r="F122" s="17"/>
    </row>
    <row r="123" spans="1:7" ht="18.75" x14ac:dyDescent="0.3">
      <c r="A123" s="2"/>
      <c r="B123" s="12"/>
      <c r="C123" s="3"/>
      <c r="D123" s="13"/>
      <c r="E123" s="10"/>
      <c r="F123" s="10"/>
    </row>
    <row r="124" spans="1:7" ht="18.75" x14ac:dyDescent="0.3">
      <c r="A124" s="2"/>
      <c r="B124" s="12"/>
      <c r="C124" s="3"/>
      <c r="D124" s="13"/>
      <c r="E124" s="10"/>
      <c r="F124" s="10"/>
    </row>
    <row r="125" spans="1:7" ht="18.75" x14ac:dyDescent="0.3">
      <c r="A125" s="18"/>
      <c r="B125" s="19"/>
      <c r="C125" s="20"/>
      <c r="D125" s="13"/>
      <c r="E125" s="10"/>
      <c r="F125" s="10"/>
    </row>
    <row r="126" spans="1:7" ht="18.75" x14ac:dyDescent="0.3">
      <c r="A126" s="1" t="s">
        <v>10</v>
      </c>
      <c r="B126" s="1" t="s">
        <v>11</v>
      </c>
      <c r="C126" s="1" t="s">
        <v>12</v>
      </c>
      <c r="D126" s="1" t="s">
        <v>13</v>
      </c>
      <c r="E126" s="1" t="s">
        <v>14</v>
      </c>
      <c r="F126" s="10"/>
    </row>
    <row r="127" spans="1:7" ht="18.75" x14ac:dyDescent="0.3">
      <c r="A127" s="3"/>
      <c r="B127" s="4"/>
      <c r="C127" s="3"/>
      <c r="D127" s="49"/>
      <c r="E127" s="3"/>
      <c r="F127" s="10"/>
    </row>
    <row r="128" spans="1:7" ht="18.75" x14ac:dyDescent="0.3">
      <c r="A128" s="3"/>
      <c r="B128" s="4"/>
      <c r="C128" s="3"/>
      <c r="D128" s="49"/>
      <c r="E128" s="5"/>
      <c r="F128" s="10"/>
    </row>
    <row r="129" spans="1:7" ht="18.75" x14ac:dyDescent="0.3">
      <c r="A129" s="3"/>
      <c r="B129" s="4"/>
      <c r="C129" s="3"/>
      <c r="D129" s="49"/>
      <c r="E129" s="5"/>
      <c r="F129" s="10"/>
    </row>
    <row r="130" spans="1:7" ht="18.75" x14ac:dyDescent="0.3">
      <c r="A130" s="3"/>
      <c r="B130" s="4"/>
      <c r="C130" s="5"/>
      <c r="D130" s="49"/>
      <c r="E130" s="3"/>
      <c r="F130" s="10"/>
    </row>
    <row r="131" spans="1:7" ht="18.75" x14ac:dyDescent="0.3">
      <c r="A131" s="6"/>
      <c r="B131" s="4"/>
      <c r="C131" s="3"/>
      <c r="D131" s="49"/>
      <c r="E131" s="5"/>
      <c r="F131" s="10"/>
    </row>
    <row r="132" spans="1:7" ht="18.75" x14ac:dyDescent="0.3">
      <c r="A132" s="3"/>
      <c r="B132" s="4"/>
      <c r="C132" s="3"/>
      <c r="D132" s="49"/>
      <c r="E132" s="5"/>
      <c r="F132" s="10"/>
    </row>
    <row r="133" spans="1:7" ht="18.75" x14ac:dyDescent="0.3">
      <c r="A133" s="3"/>
      <c r="B133" s="4"/>
      <c r="C133" s="3"/>
      <c r="D133" s="49"/>
      <c r="E133" s="5"/>
      <c r="F133" s="10"/>
    </row>
    <row r="134" spans="1:7" ht="18.75" x14ac:dyDescent="0.3">
      <c r="A134" s="3"/>
      <c r="B134" s="4"/>
      <c r="C134" s="3"/>
      <c r="D134" s="49"/>
      <c r="E134" s="3"/>
      <c r="F134" s="10"/>
    </row>
    <row r="135" spans="1:7" ht="18.75" x14ac:dyDescent="0.3">
      <c r="A135" s="3"/>
      <c r="B135" s="4"/>
      <c r="C135" s="3"/>
      <c r="D135" s="49"/>
      <c r="E135" s="3"/>
      <c r="F135" s="10"/>
    </row>
    <row r="136" spans="1:7" ht="18.75" x14ac:dyDescent="0.3">
      <c r="A136" s="3"/>
      <c r="B136" s="4"/>
      <c r="C136" s="3"/>
      <c r="D136" s="49"/>
      <c r="E136" s="3"/>
      <c r="F136" s="10"/>
    </row>
    <row r="137" spans="1:7" ht="18.75" x14ac:dyDescent="0.3">
      <c r="A137" s="3"/>
      <c r="B137" s="4"/>
      <c r="C137" s="3"/>
      <c r="D137" s="49"/>
      <c r="E137" s="3"/>
      <c r="F137" s="10"/>
      <c r="G137" s="10"/>
    </row>
    <row r="138" spans="1:7" ht="18.75" x14ac:dyDescent="0.3">
      <c r="A138" s="3"/>
      <c r="B138" s="4"/>
      <c r="C138" s="3"/>
      <c r="D138" s="49"/>
      <c r="E138" s="3"/>
      <c r="F138" s="10"/>
    </row>
    <row r="139" spans="1:7" ht="18.75" x14ac:dyDescent="0.3">
      <c r="A139" s="3"/>
      <c r="B139" s="4"/>
      <c r="C139" s="3"/>
      <c r="D139" s="49"/>
      <c r="E139" s="37"/>
    </row>
    <row r="140" spans="1:7" ht="18.75" x14ac:dyDescent="0.3">
      <c r="A140" s="3"/>
      <c r="B140" s="4"/>
      <c r="C140" s="3"/>
      <c r="D140" s="49"/>
      <c r="E140" s="37"/>
    </row>
    <row r="145" spans="1:7" ht="18.75" x14ac:dyDescent="0.3">
      <c r="A145" s="35" t="s">
        <v>0</v>
      </c>
      <c r="B145" s="35" t="s">
        <v>1</v>
      </c>
      <c r="C145" s="35" t="s">
        <v>2</v>
      </c>
      <c r="D145" s="35" t="s">
        <v>3</v>
      </c>
      <c r="E145" s="35" t="s">
        <v>4</v>
      </c>
      <c r="F145" s="35" t="s">
        <v>5</v>
      </c>
      <c r="G145" s="35" t="s">
        <v>6</v>
      </c>
    </row>
    <row r="146" spans="1:7" ht="18.75" x14ac:dyDescent="0.3">
      <c r="A146" s="22"/>
      <c r="B146" s="22" t="s">
        <v>509</v>
      </c>
      <c r="C146" s="23" t="s">
        <v>497</v>
      </c>
      <c r="D146" s="24">
        <v>480</v>
      </c>
      <c r="E146" s="22">
        <v>3000</v>
      </c>
      <c r="F146" s="25" t="s">
        <v>510</v>
      </c>
      <c r="G146" s="26">
        <f>D146*E146</f>
        <v>1440000</v>
      </c>
    </row>
    <row r="147" spans="1:7" ht="18.75" x14ac:dyDescent="0.3">
      <c r="A147" s="1" t="s">
        <v>7</v>
      </c>
      <c r="B147" s="7">
        <v>5.4</v>
      </c>
      <c r="C147" s="8" t="s">
        <v>3</v>
      </c>
      <c r="D147" s="8" t="s">
        <v>8</v>
      </c>
      <c r="E147" s="46">
        <v>864000</v>
      </c>
      <c r="F147" s="10"/>
      <c r="G147" s="11">
        <v>576000</v>
      </c>
    </row>
    <row r="148" spans="1:7" ht="18.75" x14ac:dyDescent="0.3">
      <c r="A148" s="2" t="s">
        <v>174</v>
      </c>
      <c r="B148" s="12">
        <v>58</v>
      </c>
      <c r="C148" s="5"/>
      <c r="D148" s="50">
        <f>B148*C148</f>
        <v>0</v>
      </c>
      <c r="E148" s="21">
        <v>0.6</v>
      </c>
      <c r="F148" s="10"/>
      <c r="G148" s="21">
        <v>0.4</v>
      </c>
    </row>
    <row r="149" spans="1:7" ht="18.75" x14ac:dyDescent="0.3">
      <c r="A149" s="2" t="s">
        <v>498</v>
      </c>
      <c r="B149" s="12">
        <v>86</v>
      </c>
      <c r="C149" s="3"/>
      <c r="D149" s="50">
        <f t="shared" ref="D149:D157" si="4">B149*C149</f>
        <v>0</v>
      </c>
      <c r="E149" s="10"/>
      <c r="F149" s="10"/>
      <c r="G149" s="10"/>
    </row>
    <row r="150" spans="1:7" ht="18.75" x14ac:dyDescent="0.3">
      <c r="A150" s="2" t="s">
        <v>499</v>
      </c>
      <c r="B150" s="12">
        <v>89</v>
      </c>
      <c r="C150" s="3"/>
      <c r="D150" s="50">
        <f t="shared" si="4"/>
        <v>0</v>
      </c>
      <c r="E150" s="10"/>
      <c r="F150" s="10"/>
      <c r="G150" s="10"/>
    </row>
    <row r="151" spans="1:7" ht="18.75" x14ac:dyDescent="0.3">
      <c r="A151" s="2" t="s">
        <v>500</v>
      </c>
      <c r="B151" s="12">
        <v>70</v>
      </c>
      <c r="C151" s="5"/>
      <c r="D151" s="50">
        <f t="shared" si="4"/>
        <v>0</v>
      </c>
      <c r="E151" s="10"/>
      <c r="F151" s="10"/>
      <c r="G151" s="10"/>
    </row>
    <row r="152" spans="1:7" ht="18.75" x14ac:dyDescent="0.3">
      <c r="A152" s="2" t="s">
        <v>418</v>
      </c>
      <c r="B152" s="12">
        <v>60</v>
      </c>
      <c r="C152" s="3"/>
      <c r="D152" s="50">
        <f t="shared" si="4"/>
        <v>0</v>
      </c>
      <c r="E152" s="10"/>
      <c r="F152" s="10"/>
      <c r="G152" s="14">
        <f>E147-D163-D164-D165-D166-D167-D168-D169-D170-D171-D172-D173-D174-D175-D176</f>
        <v>864000</v>
      </c>
    </row>
    <row r="153" spans="1:7" ht="18.75" x14ac:dyDescent="0.3">
      <c r="A153" s="2" t="s">
        <v>501</v>
      </c>
      <c r="B153" s="12">
        <v>120</v>
      </c>
      <c r="C153" s="3"/>
      <c r="D153" s="50">
        <f t="shared" si="4"/>
        <v>0</v>
      </c>
      <c r="E153" s="10"/>
      <c r="F153" s="10"/>
    </row>
    <row r="154" spans="1:7" ht="18.75" x14ac:dyDescent="0.3">
      <c r="A154" s="2" t="s">
        <v>502</v>
      </c>
      <c r="B154" s="12">
        <v>200</v>
      </c>
      <c r="C154" s="3"/>
      <c r="D154" s="50">
        <f t="shared" si="4"/>
        <v>0</v>
      </c>
      <c r="E154" s="10"/>
      <c r="F154" s="10"/>
    </row>
    <row r="155" spans="1:7" ht="18.75" x14ac:dyDescent="0.3">
      <c r="A155" s="2" t="s">
        <v>503</v>
      </c>
      <c r="B155" s="15">
        <v>30</v>
      </c>
      <c r="C155" s="3"/>
      <c r="D155" s="50">
        <f t="shared" si="4"/>
        <v>0</v>
      </c>
      <c r="E155" s="10"/>
      <c r="F155" s="10"/>
    </row>
    <row r="156" spans="1:7" ht="18.75" x14ac:dyDescent="0.3">
      <c r="A156" s="2" t="s">
        <v>504</v>
      </c>
      <c r="B156" s="12">
        <v>43</v>
      </c>
      <c r="C156" s="3"/>
      <c r="D156" s="50">
        <f t="shared" si="4"/>
        <v>0</v>
      </c>
      <c r="E156" s="10"/>
      <c r="F156" s="10"/>
    </row>
    <row r="157" spans="1:7" ht="18.75" x14ac:dyDescent="0.3">
      <c r="A157" s="2"/>
      <c r="B157" s="15"/>
      <c r="C157" s="3"/>
      <c r="D157" s="50">
        <f t="shared" si="4"/>
        <v>0</v>
      </c>
      <c r="E157" s="10"/>
      <c r="F157" s="16"/>
    </row>
    <row r="158" spans="1:7" ht="18.75" x14ac:dyDescent="0.3">
      <c r="A158" s="2"/>
      <c r="B158" s="15"/>
      <c r="C158" s="3"/>
      <c r="D158" s="50"/>
      <c r="E158" s="10"/>
      <c r="F158" s="17"/>
    </row>
    <row r="159" spans="1:7" ht="18.75" x14ac:dyDescent="0.3">
      <c r="A159" s="2"/>
      <c r="B159" s="12"/>
      <c r="C159" s="3"/>
      <c r="D159" s="13"/>
      <c r="E159" s="10"/>
      <c r="F159" s="10"/>
    </row>
    <row r="160" spans="1:7" ht="18.75" x14ac:dyDescent="0.3">
      <c r="A160" s="2"/>
      <c r="B160" s="12"/>
      <c r="C160" s="3"/>
      <c r="D160" s="13"/>
      <c r="E160" s="10"/>
      <c r="F160" s="10"/>
    </row>
    <row r="161" spans="1:7" ht="18.75" x14ac:dyDescent="0.3">
      <c r="A161" s="18"/>
      <c r="B161" s="19"/>
      <c r="C161" s="20"/>
      <c r="D161" s="13"/>
      <c r="E161" s="10"/>
      <c r="F161" s="10"/>
    </row>
    <row r="162" spans="1:7" ht="18.75" x14ac:dyDescent="0.3">
      <c r="A162" s="1" t="s">
        <v>10</v>
      </c>
      <c r="B162" s="1" t="s">
        <v>11</v>
      </c>
      <c r="C162" s="1" t="s">
        <v>12</v>
      </c>
      <c r="D162" s="1" t="s">
        <v>13</v>
      </c>
      <c r="E162" s="1" t="s">
        <v>14</v>
      </c>
      <c r="F162" s="10"/>
    </row>
    <row r="163" spans="1:7" ht="18.75" x14ac:dyDescent="0.3">
      <c r="A163" s="3"/>
      <c r="B163" s="4"/>
      <c r="C163" s="3"/>
      <c r="D163" s="49"/>
      <c r="E163" s="3"/>
      <c r="F163" s="10"/>
    </row>
    <row r="164" spans="1:7" ht="18.75" x14ac:dyDescent="0.3">
      <c r="A164" s="3"/>
      <c r="B164" s="4"/>
      <c r="C164" s="3"/>
      <c r="D164" s="49"/>
      <c r="E164" s="5"/>
      <c r="F164" s="10"/>
    </row>
    <row r="165" spans="1:7" ht="18.75" x14ac:dyDescent="0.3">
      <c r="A165" s="3"/>
      <c r="B165" s="4"/>
      <c r="C165" s="3"/>
      <c r="D165" s="49"/>
      <c r="E165" s="5"/>
      <c r="F165" s="10"/>
    </row>
    <row r="166" spans="1:7" ht="18.75" x14ac:dyDescent="0.3">
      <c r="A166" s="3"/>
      <c r="B166" s="4"/>
      <c r="C166" s="5"/>
      <c r="D166" s="49"/>
      <c r="E166" s="3"/>
      <c r="F166" s="10"/>
    </row>
    <row r="167" spans="1:7" ht="18.75" x14ac:dyDescent="0.3">
      <c r="A167" s="6"/>
      <c r="B167" s="4"/>
      <c r="C167" s="3"/>
      <c r="D167" s="49"/>
      <c r="E167" s="5"/>
      <c r="F167" s="10"/>
    </row>
    <row r="168" spans="1:7" ht="18.75" x14ac:dyDescent="0.3">
      <c r="A168" s="3"/>
      <c r="B168" s="4"/>
      <c r="C168" s="3"/>
      <c r="D168" s="49"/>
      <c r="E168" s="5"/>
      <c r="F168" s="10"/>
    </row>
    <row r="169" spans="1:7" ht="18.75" x14ac:dyDescent="0.3">
      <c r="A169" s="3"/>
      <c r="B169" s="4"/>
      <c r="C169" s="3"/>
      <c r="D169" s="49"/>
      <c r="E169" s="5"/>
      <c r="F169" s="10"/>
    </row>
    <row r="170" spans="1:7" ht="18.75" x14ac:dyDescent="0.3">
      <c r="A170" s="3"/>
      <c r="B170" s="4"/>
      <c r="C170" s="3"/>
      <c r="D170" s="49"/>
      <c r="E170" s="3"/>
      <c r="F170" s="10"/>
    </row>
    <row r="171" spans="1:7" ht="18.75" x14ac:dyDescent="0.3">
      <c r="A171" s="3"/>
      <c r="B171" s="4"/>
      <c r="C171" s="3"/>
      <c r="D171" s="49"/>
      <c r="E171" s="3"/>
      <c r="F171" s="10"/>
    </row>
    <row r="172" spans="1:7" ht="18.75" x14ac:dyDescent="0.3">
      <c r="A172" s="3"/>
      <c r="B172" s="4"/>
      <c r="C172" s="3"/>
      <c r="D172" s="49"/>
      <c r="E172" s="3"/>
      <c r="F172" s="10"/>
    </row>
    <row r="173" spans="1:7" ht="18.75" x14ac:dyDescent="0.3">
      <c r="A173" s="3"/>
      <c r="B173" s="4"/>
      <c r="C173" s="3"/>
      <c r="D173" s="49"/>
      <c r="E173" s="3"/>
      <c r="F173" s="10"/>
      <c r="G173" s="10"/>
    </row>
    <row r="174" spans="1:7" ht="18.75" x14ac:dyDescent="0.3">
      <c r="A174" s="3"/>
      <c r="B174" s="4"/>
      <c r="C174" s="3"/>
      <c r="D174" s="49"/>
      <c r="E174" s="3"/>
      <c r="F174" s="10"/>
    </row>
    <row r="175" spans="1:7" ht="18.75" x14ac:dyDescent="0.3">
      <c r="A175" s="3"/>
      <c r="B175" s="4"/>
      <c r="C175" s="3"/>
      <c r="D175" s="49"/>
      <c r="E175" s="37"/>
    </row>
    <row r="176" spans="1:7" ht="18.75" x14ac:dyDescent="0.3">
      <c r="A176" s="3"/>
      <c r="B176" s="4"/>
      <c r="C176" s="3"/>
      <c r="D176" s="49"/>
      <c r="E176" s="37"/>
    </row>
    <row r="182" spans="1:7" ht="18.75" x14ac:dyDescent="0.3">
      <c r="A182" s="35" t="s">
        <v>0</v>
      </c>
      <c r="B182" s="35" t="s">
        <v>1</v>
      </c>
      <c r="C182" s="35" t="s">
        <v>2</v>
      </c>
      <c r="D182" s="35" t="s">
        <v>3</v>
      </c>
      <c r="E182" s="35" t="s">
        <v>4</v>
      </c>
      <c r="F182" s="35" t="s">
        <v>5</v>
      </c>
      <c r="G182" s="35" t="s">
        <v>6</v>
      </c>
    </row>
    <row r="183" spans="1:7" ht="18.75" x14ac:dyDescent="0.3">
      <c r="A183" s="22"/>
      <c r="B183" s="22" t="s">
        <v>509</v>
      </c>
      <c r="C183" s="23" t="s">
        <v>497</v>
      </c>
      <c r="D183" s="24">
        <v>480</v>
      </c>
      <c r="E183" s="22">
        <v>3000</v>
      </c>
      <c r="F183" s="25" t="s">
        <v>510</v>
      </c>
      <c r="G183" s="26">
        <f>D183*E183</f>
        <v>1440000</v>
      </c>
    </row>
    <row r="184" spans="1:7" ht="18.75" x14ac:dyDescent="0.3">
      <c r="A184" s="1" t="s">
        <v>7</v>
      </c>
      <c r="B184" s="7">
        <v>5.4</v>
      </c>
      <c r="C184" s="8" t="s">
        <v>3</v>
      </c>
      <c r="D184" s="8" t="s">
        <v>8</v>
      </c>
      <c r="E184" s="46">
        <v>864000</v>
      </c>
      <c r="F184" s="10"/>
      <c r="G184" s="11">
        <v>576000</v>
      </c>
    </row>
    <row r="185" spans="1:7" ht="18.75" x14ac:dyDescent="0.3">
      <c r="A185" s="2" t="s">
        <v>174</v>
      </c>
      <c r="B185" s="12">
        <v>58</v>
      </c>
      <c r="C185" s="5"/>
      <c r="D185" s="50">
        <f>B185*C185</f>
        <v>0</v>
      </c>
      <c r="E185" s="21">
        <v>0.6</v>
      </c>
      <c r="F185" s="10"/>
      <c r="G185" s="21">
        <v>0.4</v>
      </c>
    </row>
    <row r="186" spans="1:7" ht="18.75" x14ac:dyDescent="0.3">
      <c r="A186" s="2" t="s">
        <v>498</v>
      </c>
      <c r="B186" s="12">
        <v>86</v>
      </c>
      <c r="C186" s="3"/>
      <c r="D186" s="50">
        <f t="shared" ref="D186:D194" si="5">B186*C186</f>
        <v>0</v>
      </c>
      <c r="E186" s="10"/>
      <c r="F186" s="10"/>
      <c r="G186" s="10"/>
    </row>
    <row r="187" spans="1:7" ht="18.75" x14ac:dyDescent="0.3">
      <c r="A187" s="2" t="s">
        <v>499</v>
      </c>
      <c r="B187" s="12">
        <v>89</v>
      </c>
      <c r="C187" s="3"/>
      <c r="D187" s="50">
        <f t="shared" si="5"/>
        <v>0</v>
      </c>
      <c r="E187" s="10"/>
      <c r="F187" s="10"/>
      <c r="G187" s="10"/>
    </row>
    <row r="188" spans="1:7" ht="18.75" x14ac:dyDescent="0.3">
      <c r="A188" s="2" t="s">
        <v>500</v>
      </c>
      <c r="B188" s="12">
        <v>70</v>
      </c>
      <c r="C188" s="5"/>
      <c r="D188" s="50">
        <f t="shared" si="5"/>
        <v>0</v>
      </c>
      <c r="E188" s="10"/>
      <c r="F188" s="10"/>
      <c r="G188" s="10"/>
    </row>
    <row r="189" spans="1:7" ht="18.75" x14ac:dyDescent="0.3">
      <c r="A189" s="2" t="s">
        <v>418</v>
      </c>
      <c r="B189" s="12">
        <v>60</v>
      </c>
      <c r="C189" s="3"/>
      <c r="D189" s="50">
        <f t="shared" si="5"/>
        <v>0</v>
      </c>
      <c r="E189" s="10"/>
      <c r="F189" s="10"/>
      <c r="G189" s="14">
        <f>E184-D200-D201-D202-D203-D204-D205-D206-D207-D208-D209-D210-D211-D212-D213</f>
        <v>864000</v>
      </c>
    </row>
    <row r="190" spans="1:7" ht="18.75" x14ac:dyDescent="0.3">
      <c r="A190" s="2" t="s">
        <v>501</v>
      </c>
      <c r="B190" s="12">
        <v>120</v>
      </c>
      <c r="C190" s="3"/>
      <c r="D190" s="50">
        <f t="shared" si="5"/>
        <v>0</v>
      </c>
      <c r="E190" s="10"/>
      <c r="F190" s="10"/>
    </row>
    <row r="191" spans="1:7" ht="18.75" x14ac:dyDescent="0.3">
      <c r="A191" s="2" t="s">
        <v>502</v>
      </c>
      <c r="B191" s="12">
        <v>200</v>
      </c>
      <c r="C191" s="3"/>
      <c r="D191" s="50">
        <f t="shared" si="5"/>
        <v>0</v>
      </c>
      <c r="E191" s="10"/>
      <c r="F191" s="10"/>
    </row>
    <row r="192" spans="1:7" ht="18.75" x14ac:dyDescent="0.3">
      <c r="A192" s="2" t="s">
        <v>503</v>
      </c>
      <c r="B192" s="15">
        <v>30</v>
      </c>
      <c r="C192" s="3"/>
      <c r="D192" s="50">
        <f t="shared" si="5"/>
        <v>0</v>
      </c>
      <c r="E192" s="10"/>
      <c r="F192" s="10"/>
    </row>
    <row r="193" spans="1:6" ht="18.75" x14ac:dyDescent="0.3">
      <c r="A193" s="2" t="s">
        <v>504</v>
      </c>
      <c r="B193" s="12">
        <v>43</v>
      </c>
      <c r="C193" s="3"/>
      <c r="D193" s="50">
        <f t="shared" si="5"/>
        <v>0</v>
      </c>
      <c r="E193" s="10"/>
      <c r="F193" s="10"/>
    </row>
    <row r="194" spans="1:6" ht="18.75" x14ac:dyDescent="0.3">
      <c r="A194" s="2"/>
      <c r="B194" s="15"/>
      <c r="C194" s="3"/>
      <c r="D194" s="50">
        <f t="shared" si="5"/>
        <v>0</v>
      </c>
      <c r="E194" s="10"/>
      <c r="F194" s="16"/>
    </row>
    <row r="195" spans="1:6" ht="18.75" x14ac:dyDescent="0.3">
      <c r="A195" s="2"/>
      <c r="B195" s="15"/>
      <c r="C195" s="3"/>
      <c r="D195" s="50"/>
      <c r="E195" s="10"/>
      <c r="F195" s="17"/>
    </row>
    <row r="196" spans="1:6" ht="18.75" x14ac:dyDescent="0.3">
      <c r="A196" s="2"/>
      <c r="B196" s="12"/>
      <c r="C196" s="3"/>
      <c r="D196" s="13"/>
      <c r="E196" s="10"/>
      <c r="F196" s="10"/>
    </row>
    <row r="197" spans="1:6" ht="18.75" x14ac:dyDescent="0.3">
      <c r="A197" s="2"/>
      <c r="B197" s="12"/>
      <c r="C197" s="3"/>
      <c r="D197" s="13"/>
      <c r="E197" s="10"/>
      <c r="F197" s="10"/>
    </row>
    <row r="198" spans="1:6" ht="18.75" x14ac:dyDescent="0.3">
      <c r="A198" s="18"/>
      <c r="B198" s="19"/>
      <c r="C198" s="20"/>
      <c r="D198" s="13"/>
      <c r="E198" s="10"/>
      <c r="F198" s="10"/>
    </row>
    <row r="199" spans="1:6" ht="18.75" x14ac:dyDescent="0.3">
      <c r="A199" s="1" t="s">
        <v>10</v>
      </c>
      <c r="B199" s="1" t="s">
        <v>11</v>
      </c>
      <c r="C199" s="1" t="s">
        <v>12</v>
      </c>
      <c r="D199" s="1" t="s">
        <v>13</v>
      </c>
      <c r="E199" s="1" t="s">
        <v>14</v>
      </c>
      <c r="F199" s="10"/>
    </row>
    <row r="200" spans="1:6" ht="18.75" x14ac:dyDescent="0.3">
      <c r="A200" s="3"/>
      <c r="B200" s="4"/>
      <c r="C200" s="3"/>
      <c r="D200" s="49"/>
      <c r="E200" s="3"/>
      <c r="F200" s="10"/>
    </row>
    <row r="201" spans="1:6" ht="18.75" x14ac:dyDescent="0.3">
      <c r="A201" s="3"/>
      <c r="B201" s="4"/>
      <c r="C201" s="3"/>
      <c r="D201" s="49"/>
      <c r="E201" s="5"/>
      <c r="F201" s="10"/>
    </row>
    <row r="202" spans="1:6" ht="18.75" x14ac:dyDescent="0.3">
      <c r="A202" s="3"/>
      <c r="B202" s="4"/>
      <c r="C202" s="3"/>
      <c r="D202" s="49"/>
      <c r="E202" s="5"/>
      <c r="F202" s="10"/>
    </row>
    <row r="203" spans="1:6" ht="18.75" x14ac:dyDescent="0.3">
      <c r="A203" s="3"/>
      <c r="B203" s="4"/>
      <c r="C203" s="5"/>
      <c r="D203" s="49"/>
      <c r="E203" s="3"/>
      <c r="F203" s="10"/>
    </row>
    <row r="204" spans="1:6" ht="18.75" x14ac:dyDescent="0.3">
      <c r="A204" s="6"/>
      <c r="B204" s="4"/>
      <c r="C204" s="3"/>
      <c r="D204" s="49"/>
      <c r="E204" s="5"/>
      <c r="F204" s="10"/>
    </row>
    <row r="205" spans="1:6" ht="18.75" x14ac:dyDescent="0.3">
      <c r="A205" s="3"/>
      <c r="B205" s="4"/>
      <c r="C205" s="3"/>
      <c r="D205" s="49"/>
      <c r="E205" s="5"/>
      <c r="F205" s="10"/>
    </row>
    <row r="206" spans="1:6" ht="18.75" x14ac:dyDescent="0.3">
      <c r="A206" s="3"/>
      <c r="B206" s="4"/>
      <c r="C206" s="3"/>
      <c r="D206" s="49"/>
      <c r="E206" s="5"/>
      <c r="F206" s="10"/>
    </row>
    <row r="207" spans="1:6" ht="18.75" x14ac:dyDescent="0.3">
      <c r="A207" s="3"/>
      <c r="B207" s="4"/>
      <c r="C207" s="3"/>
      <c r="D207" s="49"/>
      <c r="E207" s="3"/>
      <c r="F207" s="10"/>
    </row>
    <row r="208" spans="1:6" ht="18.75" x14ac:dyDescent="0.3">
      <c r="A208" s="3"/>
      <c r="B208" s="4"/>
      <c r="C208" s="3"/>
      <c r="D208" s="49"/>
      <c r="E208" s="3"/>
      <c r="F208" s="10"/>
    </row>
    <row r="209" spans="1:7" ht="18.75" x14ac:dyDescent="0.3">
      <c r="A209" s="3"/>
      <c r="B209" s="4"/>
      <c r="C209" s="3"/>
      <c r="D209" s="49"/>
      <c r="E209" s="3"/>
      <c r="F209" s="10"/>
    </row>
    <row r="210" spans="1:7" ht="18.75" x14ac:dyDescent="0.3">
      <c r="A210" s="3"/>
      <c r="B210" s="4"/>
      <c r="C210" s="3"/>
      <c r="D210" s="49"/>
      <c r="E210" s="3"/>
      <c r="F210" s="10"/>
      <c r="G210" s="10"/>
    </row>
    <row r="211" spans="1:7" ht="18.75" x14ac:dyDescent="0.3">
      <c r="A211" s="3"/>
      <c r="B211" s="4"/>
      <c r="C211" s="3"/>
      <c r="D211" s="49"/>
      <c r="E211" s="3"/>
      <c r="F211" s="10"/>
    </row>
    <row r="212" spans="1:7" ht="18.75" x14ac:dyDescent="0.3">
      <c r="A212" s="3"/>
      <c r="B212" s="4"/>
      <c r="C212" s="3"/>
      <c r="D212" s="49"/>
      <c r="E212" s="37"/>
    </row>
    <row r="213" spans="1:7" ht="18.75" x14ac:dyDescent="0.3">
      <c r="A213" s="3"/>
      <c r="B213" s="4"/>
      <c r="C213" s="3"/>
      <c r="D213" s="49"/>
      <c r="E213" s="37"/>
    </row>
    <row r="218" spans="1:7" ht="18.75" x14ac:dyDescent="0.3">
      <c r="A218" s="35" t="s">
        <v>0</v>
      </c>
      <c r="B218" s="35" t="s">
        <v>1</v>
      </c>
      <c r="C218" s="35" t="s">
        <v>2</v>
      </c>
      <c r="D218" s="35" t="s">
        <v>3</v>
      </c>
      <c r="E218" s="35" t="s">
        <v>4</v>
      </c>
      <c r="F218" s="35" t="s">
        <v>5</v>
      </c>
      <c r="G218" s="35" t="s">
        <v>6</v>
      </c>
    </row>
    <row r="219" spans="1:7" ht="18.75" x14ac:dyDescent="0.3">
      <c r="A219" s="22"/>
      <c r="B219" s="22" t="s">
        <v>509</v>
      </c>
      <c r="C219" s="23" t="s">
        <v>497</v>
      </c>
      <c r="D219" s="24">
        <v>480</v>
      </c>
      <c r="E219" s="22">
        <v>3000</v>
      </c>
      <c r="F219" s="25" t="s">
        <v>510</v>
      </c>
      <c r="G219" s="26">
        <f>D219*E219</f>
        <v>1440000</v>
      </c>
    </row>
    <row r="220" spans="1:7" ht="18.75" x14ac:dyDescent="0.3">
      <c r="A220" s="1" t="s">
        <v>7</v>
      </c>
      <c r="B220" s="7">
        <v>5.4</v>
      </c>
      <c r="C220" s="8" t="s">
        <v>3</v>
      </c>
      <c r="D220" s="8" t="s">
        <v>8</v>
      </c>
      <c r="E220" s="46">
        <v>864000</v>
      </c>
      <c r="F220" s="10"/>
      <c r="G220" s="11">
        <v>576000</v>
      </c>
    </row>
    <row r="221" spans="1:7" ht="18.75" x14ac:dyDescent="0.3">
      <c r="A221" s="2" t="s">
        <v>174</v>
      </c>
      <c r="B221" s="12">
        <v>58</v>
      </c>
      <c r="C221" s="5"/>
      <c r="D221" s="50">
        <f>B221*C221</f>
        <v>0</v>
      </c>
      <c r="E221" s="21">
        <v>0.6</v>
      </c>
      <c r="F221" s="10"/>
      <c r="G221" s="21">
        <v>0.4</v>
      </c>
    </row>
    <row r="222" spans="1:7" ht="18.75" x14ac:dyDescent="0.3">
      <c r="A222" s="2" t="s">
        <v>498</v>
      </c>
      <c r="B222" s="12">
        <v>86</v>
      </c>
      <c r="C222" s="3"/>
      <c r="D222" s="50">
        <f t="shared" ref="D222:D230" si="6">B222*C222</f>
        <v>0</v>
      </c>
      <c r="E222" s="10"/>
      <c r="F222" s="10"/>
      <c r="G222" s="10"/>
    </row>
    <row r="223" spans="1:7" ht="18.75" x14ac:dyDescent="0.3">
      <c r="A223" s="2" t="s">
        <v>499</v>
      </c>
      <c r="B223" s="12">
        <v>89</v>
      </c>
      <c r="C223" s="3"/>
      <c r="D223" s="50">
        <f t="shared" si="6"/>
        <v>0</v>
      </c>
      <c r="E223" s="10"/>
      <c r="F223" s="10"/>
      <c r="G223" s="10"/>
    </row>
    <row r="224" spans="1:7" ht="18.75" x14ac:dyDescent="0.3">
      <c r="A224" s="2" t="s">
        <v>500</v>
      </c>
      <c r="B224" s="12">
        <v>70</v>
      </c>
      <c r="C224" s="5"/>
      <c r="D224" s="50">
        <f t="shared" si="6"/>
        <v>0</v>
      </c>
      <c r="E224" s="10"/>
      <c r="F224" s="10"/>
      <c r="G224" s="10"/>
    </row>
    <row r="225" spans="1:7" ht="18.75" x14ac:dyDescent="0.3">
      <c r="A225" s="2" t="s">
        <v>418</v>
      </c>
      <c r="B225" s="12">
        <v>60</v>
      </c>
      <c r="C225" s="3"/>
      <c r="D225" s="50">
        <f t="shared" si="6"/>
        <v>0</v>
      </c>
      <c r="E225" s="10"/>
      <c r="F225" s="10"/>
      <c r="G225" s="14">
        <f>E220-D236-D237-D238-D239-D240-D241-D242-D243-D244-D245-D246-D247-D248-D249</f>
        <v>864000</v>
      </c>
    </row>
    <row r="226" spans="1:7" ht="18.75" x14ac:dyDescent="0.3">
      <c r="A226" s="2" t="s">
        <v>501</v>
      </c>
      <c r="B226" s="12">
        <v>120</v>
      </c>
      <c r="C226" s="3"/>
      <c r="D226" s="50">
        <f t="shared" si="6"/>
        <v>0</v>
      </c>
      <c r="E226" s="10"/>
      <c r="F226" s="10"/>
    </row>
    <row r="227" spans="1:7" ht="18.75" x14ac:dyDescent="0.3">
      <c r="A227" s="2" t="s">
        <v>502</v>
      </c>
      <c r="B227" s="12">
        <v>200</v>
      </c>
      <c r="C227" s="3"/>
      <c r="D227" s="50">
        <f t="shared" si="6"/>
        <v>0</v>
      </c>
      <c r="E227" s="10"/>
      <c r="F227" s="10"/>
    </row>
    <row r="228" spans="1:7" ht="18.75" x14ac:dyDescent="0.3">
      <c r="A228" s="2" t="s">
        <v>503</v>
      </c>
      <c r="B228" s="15">
        <v>30</v>
      </c>
      <c r="C228" s="3"/>
      <c r="D228" s="50">
        <f t="shared" si="6"/>
        <v>0</v>
      </c>
      <c r="E228" s="10"/>
      <c r="F228" s="10"/>
    </row>
    <row r="229" spans="1:7" ht="18.75" x14ac:dyDescent="0.3">
      <c r="A229" s="2" t="s">
        <v>504</v>
      </c>
      <c r="B229" s="12">
        <v>43</v>
      </c>
      <c r="C229" s="3"/>
      <c r="D229" s="50">
        <f t="shared" si="6"/>
        <v>0</v>
      </c>
      <c r="E229" s="10"/>
      <c r="F229" s="10"/>
    </row>
    <row r="230" spans="1:7" ht="18.75" x14ac:dyDescent="0.3">
      <c r="A230" s="2"/>
      <c r="B230" s="15"/>
      <c r="C230" s="3"/>
      <c r="D230" s="50">
        <f t="shared" si="6"/>
        <v>0</v>
      </c>
      <c r="E230" s="10"/>
      <c r="F230" s="16"/>
    </row>
    <row r="231" spans="1:7" ht="18.75" x14ac:dyDescent="0.3">
      <c r="A231" s="2"/>
      <c r="B231" s="15"/>
      <c r="C231" s="3"/>
      <c r="D231" s="50"/>
      <c r="E231" s="10"/>
      <c r="F231" s="17"/>
    </row>
    <row r="232" spans="1:7" ht="18.75" x14ac:dyDescent="0.3">
      <c r="A232" s="2"/>
      <c r="B232" s="12"/>
      <c r="C232" s="3"/>
      <c r="D232" s="13"/>
      <c r="E232" s="10"/>
      <c r="F232" s="10"/>
    </row>
    <row r="233" spans="1:7" ht="18.75" x14ac:dyDescent="0.3">
      <c r="A233" s="2"/>
      <c r="B233" s="12"/>
      <c r="C233" s="3"/>
      <c r="D233" s="13"/>
      <c r="E233" s="10"/>
      <c r="F233" s="10"/>
    </row>
    <row r="234" spans="1:7" ht="18.75" x14ac:dyDescent="0.3">
      <c r="A234" s="18"/>
      <c r="B234" s="19"/>
      <c r="C234" s="20"/>
      <c r="D234" s="13"/>
      <c r="E234" s="10"/>
      <c r="F234" s="10"/>
    </row>
    <row r="235" spans="1:7" ht="18.75" x14ac:dyDescent="0.3">
      <c r="A235" s="1" t="s">
        <v>10</v>
      </c>
      <c r="B235" s="1" t="s">
        <v>11</v>
      </c>
      <c r="C235" s="1" t="s">
        <v>12</v>
      </c>
      <c r="D235" s="1" t="s">
        <v>13</v>
      </c>
      <c r="E235" s="1" t="s">
        <v>14</v>
      </c>
      <c r="F235" s="10"/>
    </row>
    <row r="236" spans="1:7" ht="18.75" x14ac:dyDescent="0.3">
      <c r="A236" s="3"/>
      <c r="B236" s="4"/>
      <c r="C236" s="3"/>
      <c r="D236" s="49"/>
      <c r="E236" s="3"/>
      <c r="F236" s="10"/>
    </row>
    <row r="237" spans="1:7" ht="18.75" x14ac:dyDescent="0.3">
      <c r="A237" s="3"/>
      <c r="B237" s="4"/>
      <c r="C237" s="3"/>
      <c r="D237" s="49"/>
      <c r="E237" s="5"/>
      <c r="F237" s="10"/>
    </row>
    <row r="238" spans="1:7" ht="18.75" x14ac:dyDescent="0.3">
      <c r="A238" s="3"/>
      <c r="B238" s="4"/>
      <c r="C238" s="3"/>
      <c r="D238" s="49"/>
      <c r="E238" s="5"/>
      <c r="F238" s="10"/>
    </row>
    <row r="239" spans="1:7" ht="18.75" x14ac:dyDescent="0.3">
      <c r="A239" s="3"/>
      <c r="B239" s="4"/>
      <c r="C239" s="5"/>
      <c r="D239" s="49"/>
      <c r="E239" s="3"/>
      <c r="F239" s="10"/>
    </row>
    <row r="240" spans="1:7" ht="18.75" x14ac:dyDescent="0.3">
      <c r="A240" s="6"/>
      <c r="B240" s="4"/>
      <c r="C240" s="3"/>
      <c r="D240" s="49"/>
      <c r="E240" s="5"/>
      <c r="F240" s="10"/>
    </row>
    <row r="241" spans="1:7" ht="18.75" x14ac:dyDescent="0.3">
      <c r="A241" s="3"/>
      <c r="B241" s="4"/>
      <c r="C241" s="3"/>
      <c r="D241" s="49"/>
      <c r="E241" s="5"/>
      <c r="F241" s="10"/>
    </row>
    <row r="242" spans="1:7" ht="18.75" x14ac:dyDescent="0.3">
      <c r="A242" s="3"/>
      <c r="B242" s="4"/>
      <c r="C242" s="3"/>
      <c r="D242" s="49"/>
      <c r="E242" s="5"/>
      <c r="F242" s="10"/>
    </row>
    <row r="243" spans="1:7" ht="18.75" x14ac:dyDescent="0.3">
      <c r="A243" s="3"/>
      <c r="B243" s="4"/>
      <c r="C243" s="3"/>
      <c r="D243" s="49"/>
      <c r="E243" s="3"/>
      <c r="F243" s="10"/>
    </row>
    <row r="244" spans="1:7" ht="18.75" x14ac:dyDescent="0.3">
      <c r="A244" s="3"/>
      <c r="B244" s="4"/>
      <c r="C244" s="3"/>
      <c r="D244" s="49"/>
      <c r="E244" s="3"/>
      <c r="F244" s="10"/>
    </row>
    <row r="245" spans="1:7" ht="18.75" x14ac:dyDescent="0.3">
      <c r="A245" s="3"/>
      <c r="B245" s="4"/>
      <c r="C245" s="3"/>
      <c r="D245" s="49"/>
      <c r="E245" s="3"/>
      <c r="F245" s="10"/>
    </row>
    <row r="246" spans="1:7" ht="18.75" x14ac:dyDescent="0.3">
      <c r="A246" s="3"/>
      <c r="B246" s="4"/>
      <c r="C246" s="3"/>
      <c r="D246" s="49"/>
      <c r="E246" s="3"/>
      <c r="F246" s="10"/>
      <c r="G246" s="10"/>
    </row>
    <row r="247" spans="1:7" ht="18.75" x14ac:dyDescent="0.3">
      <c r="A247" s="3"/>
      <c r="B247" s="4"/>
      <c r="C247" s="3"/>
      <c r="D247" s="49"/>
      <c r="E247" s="3"/>
      <c r="F247" s="10"/>
    </row>
    <row r="248" spans="1:7" ht="18.75" x14ac:dyDescent="0.3">
      <c r="A248" s="3"/>
      <c r="B248" s="4"/>
      <c r="C248" s="3"/>
      <c r="D248" s="49"/>
      <c r="E248" s="37"/>
    </row>
    <row r="249" spans="1:7" ht="18.75" x14ac:dyDescent="0.3">
      <c r="A249" s="3"/>
      <c r="B249" s="4"/>
      <c r="C249" s="3"/>
      <c r="D249" s="49"/>
      <c r="E249" s="37"/>
    </row>
    <row r="254" spans="1:7" ht="18.75" x14ac:dyDescent="0.3">
      <c r="A254" s="35" t="s">
        <v>0</v>
      </c>
      <c r="B254" s="35" t="s">
        <v>1</v>
      </c>
      <c r="C254" s="35" t="s">
        <v>2</v>
      </c>
      <c r="D254" s="35" t="s">
        <v>3</v>
      </c>
      <c r="E254" s="35" t="s">
        <v>4</v>
      </c>
      <c r="F254" s="35" t="s">
        <v>5</v>
      </c>
      <c r="G254" s="35" t="s">
        <v>6</v>
      </c>
    </row>
    <row r="255" spans="1:7" ht="18.75" x14ac:dyDescent="0.3">
      <c r="A255" s="22"/>
      <c r="B255" s="22" t="s">
        <v>509</v>
      </c>
      <c r="C255" s="23" t="s">
        <v>497</v>
      </c>
      <c r="D255" s="24">
        <v>480</v>
      </c>
      <c r="E255" s="22">
        <v>3000</v>
      </c>
      <c r="F255" s="25" t="s">
        <v>510</v>
      </c>
      <c r="G255" s="26">
        <f>D255*E255</f>
        <v>1440000</v>
      </c>
    </row>
    <row r="256" spans="1:7" ht="18.75" x14ac:dyDescent="0.3">
      <c r="A256" s="1" t="s">
        <v>7</v>
      </c>
      <c r="B256" s="7">
        <v>5.4</v>
      </c>
      <c r="C256" s="8" t="s">
        <v>3</v>
      </c>
      <c r="D256" s="8" t="s">
        <v>8</v>
      </c>
      <c r="E256" s="46">
        <v>864000</v>
      </c>
      <c r="F256" s="10"/>
      <c r="G256" s="11">
        <v>576000</v>
      </c>
    </row>
    <row r="257" spans="1:7" ht="18.75" x14ac:dyDescent="0.3">
      <c r="A257" s="2" t="s">
        <v>174</v>
      </c>
      <c r="B257" s="12">
        <v>58</v>
      </c>
      <c r="C257" s="5"/>
      <c r="D257" s="50">
        <f>B257*C257</f>
        <v>0</v>
      </c>
      <c r="E257" s="21">
        <v>0.6</v>
      </c>
      <c r="F257" s="10"/>
      <c r="G257" s="21">
        <v>0.4</v>
      </c>
    </row>
    <row r="258" spans="1:7" ht="18.75" x14ac:dyDescent="0.3">
      <c r="A258" s="2" t="s">
        <v>498</v>
      </c>
      <c r="B258" s="12">
        <v>86</v>
      </c>
      <c r="C258" s="3"/>
      <c r="D258" s="50">
        <f t="shared" ref="D258:D266" si="7">B258*C258</f>
        <v>0</v>
      </c>
      <c r="E258" s="10"/>
      <c r="F258" s="10"/>
      <c r="G258" s="10"/>
    </row>
    <row r="259" spans="1:7" ht="18.75" x14ac:dyDescent="0.3">
      <c r="A259" s="2" t="s">
        <v>499</v>
      </c>
      <c r="B259" s="12">
        <v>89</v>
      </c>
      <c r="C259" s="3"/>
      <c r="D259" s="50">
        <f t="shared" si="7"/>
        <v>0</v>
      </c>
      <c r="E259" s="10"/>
      <c r="F259" s="10"/>
      <c r="G259" s="10"/>
    </row>
    <row r="260" spans="1:7" ht="18.75" x14ac:dyDescent="0.3">
      <c r="A260" s="2" t="s">
        <v>500</v>
      </c>
      <c r="B260" s="12">
        <v>70</v>
      </c>
      <c r="C260" s="5"/>
      <c r="D260" s="50">
        <f t="shared" si="7"/>
        <v>0</v>
      </c>
      <c r="E260" s="10"/>
      <c r="F260" s="10"/>
      <c r="G260" s="10"/>
    </row>
    <row r="261" spans="1:7" ht="18.75" x14ac:dyDescent="0.3">
      <c r="A261" s="2" t="s">
        <v>418</v>
      </c>
      <c r="B261" s="12">
        <v>60</v>
      </c>
      <c r="C261" s="3"/>
      <c r="D261" s="50">
        <f t="shared" si="7"/>
        <v>0</v>
      </c>
      <c r="E261" s="10"/>
      <c r="F261" s="10"/>
      <c r="G261" s="14">
        <f>E256-D272-D273-D274-D275-D276-D277-D278-D279-D280-D281-D282-D283-D284-D285</f>
        <v>864000</v>
      </c>
    </row>
    <row r="262" spans="1:7" ht="18.75" x14ac:dyDescent="0.3">
      <c r="A262" s="2" t="s">
        <v>501</v>
      </c>
      <c r="B262" s="12">
        <v>120</v>
      </c>
      <c r="C262" s="3"/>
      <c r="D262" s="50">
        <f t="shared" si="7"/>
        <v>0</v>
      </c>
      <c r="E262" s="10"/>
      <c r="F262" s="10"/>
    </row>
    <row r="263" spans="1:7" ht="18.75" x14ac:dyDescent="0.3">
      <c r="A263" s="2" t="s">
        <v>502</v>
      </c>
      <c r="B263" s="12">
        <v>200</v>
      </c>
      <c r="C263" s="3"/>
      <c r="D263" s="50">
        <f t="shared" si="7"/>
        <v>0</v>
      </c>
      <c r="E263" s="10"/>
      <c r="F263" s="10"/>
    </row>
    <row r="264" spans="1:7" ht="18.75" x14ac:dyDescent="0.3">
      <c r="A264" s="2" t="s">
        <v>503</v>
      </c>
      <c r="B264" s="15">
        <v>30</v>
      </c>
      <c r="C264" s="3"/>
      <c r="D264" s="50">
        <f t="shared" si="7"/>
        <v>0</v>
      </c>
      <c r="E264" s="10"/>
      <c r="F264" s="10"/>
    </row>
    <row r="265" spans="1:7" ht="18.75" x14ac:dyDescent="0.3">
      <c r="A265" s="2" t="s">
        <v>504</v>
      </c>
      <c r="B265" s="12">
        <v>43</v>
      </c>
      <c r="C265" s="3"/>
      <c r="D265" s="50">
        <f t="shared" si="7"/>
        <v>0</v>
      </c>
      <c r="E265" s="10"/>
      <c r="F265" s="10"/>
    </row>
    <row r="266" spans="1:7" ht="18.75" x14ac:dyDescent="0.3">
      <c r="A266" s="2"/>
      <c r="B266" s="15"/>
      <c r="C266" s="3"/>
      <c r="D266" s="50">
        <f t="shared" si="7"/>
        <v>0</v>
      </c>
      <c r="E266" s="10"/>
      <c r="F266" s="16"/>
    </row>
    <row r="267" spans="1:7" ht="18.75" x14ac:dyDescent="0.3">
      <c r="A267" s="2"/>
      <c r="B267" s="15"/>
      <c r="C267" s="3"/>
      <c r="D267" s="50"/>
      <c r="E267" s="10"/>
      <c r="F267" s="17"/>
    </row>
    <row r="268" spans="1:7" ht="18.75" x14ac:dyDescent="0.3">
      <c r="A268" s="2"/>
      <c r="B268" s="12"/>
      <c r="C268" s="3"/>
      <c r="D268" s="13"/>
      <c r="E268" s="10"/>
      <c r="F268" s="10"/>
    </row>
    <row r="269" spans="1:7" ht="18.75" x14ac:dyDescent="0.3">
      <c r="A269" s="2"/>
      <c r="B269" s="12"/>
      <c r="C269" s="3"/>
      <c r="D269" s="13"/>
      <c r="E269" s="10"/>
      <c r="F269" s="10"/>
    </row>
    <row r="270" spans="1:7" ht="18.75" x14ac:dyDescent="0.3">
      <c r="A270" s="18"/>
      <c r="B270" s="19"/>
      <c r="C270" s="20"/>
      <c r="D270" s="13"/>
      <c r="E270" s="10"/>
      <c r="F270" s="10"/>
    </row>
    <row r="271" spans="1:7" ht="18.75" x14ac:dyDescent="0.3">
      <c r="A271" s="1" t="s">
        <v>10</v>
      </c>
      <c r="B271" s="1" t="s">
        <v>11</v>
      </c>
      <c r="C271" s="1" t="s">
        <v>12</v>
      </c>
      <c r="D271" s="1" t="s">
        <v>13</v>
      </c>
      <c r="E271" s="1" t="s">
        <v>14</v>
      </c>
      <c r="F271" s="10"/>
    </row>
    <row r="272" spans="1:7" ht="18.75" x14ac:dyDescent="0.3">
      <c r="A272" s="3"/>
      <c r="B272" s="4"/>
      <c r="C272" s="3"/>
      <c r="D272" s="49"/>
      <c r="E272" s="3"/>
      <c r="F272" s="10"/>
    </row>
    <row r="273" spans="1:7" ht="18.75" x14ac:dyDescent="0.3">
      <c r="A273" s="3"/>
      <c r="B273" s="4"/>
      <c r="C273" s="3"/>
      <c r="D273" s="49"/>
      <c r="E273" s="5"/>
      <c r="F273" s="10"/>
    </row>
    <row r="274" spans="1:7" ht="18.75" x14ac:dyDescent="0.3">
      <c r="A274" s="3"/>
      <c r="B274" s="4"/>
      <c r="C274" s="3"/>
      <c r="D274" s="49"/>
      <c r="E274" s="5"/>
      <c r="F274" s="10"/>
    </row>
    <row r="275" spans="1:7" ht="18.75" x14ac:dyDescent="0.3">
      <c r="A275" s="3"/>
      <c r="B275" s="4"/>
      <c r="C275" s="5"/>
      <c r="D275" s="49"/>
      <c r="E275" s="3"/>
      <c r="F275" s="10"/>
    </row>
    <row r="276" spans="1:7" ht="18.75" x14ac:dyDescent="0.3">
      <c r="A276" s="6"/>
      <c r="B276" s="4"/>
      <c r="C276" s="3"/>
      <c r="D276" s="49"/>
      <c r="E276" s="5"/>
      <c r="F276" s="10"/>
    </row>
    <row r="277" spans="1:7" ht="18.75" x14ac:dyDescent="0.3">
      <c r="A277" s="3"/>
      <c r="B277" s="4"/>
      <c r="C277" s="3"/>
      <c r="D277" s="49"/>
      <c r="E277" s="5"/>
      <c r="F277" s="10"/>
    </row>
    <row r="278" spans="1:7" ht="18.75" x14ac:dyDescent="0.3">
      <c r="A278" s="3"/>
      <c r="B278" s="4"/>
      <c r="C278" s="3"/>
      <c r="D278" s="49"/>
      <c r="E278" s="5"/>
      <c r="F278" s="10"/>
    </row>
    <row r="279" spans="1:7" ht="18.75" x14ac:dyDescent="0.3">
      <c r="A279" s="3"/>
      <c r="B279" s="4"/>
      <c r="C279" s="3"/>
      <c r="D279" s="49"/>
      <c r="E279" s="3"/>
      <c r="F279" s="10"/>
    </row>
    <row r="280" spans="1:7" ht="18.75" x14ac:dyDescent="0.3">
      <c r="A280" s="3"/>
      <c r="B280" s="4"/>
      <c r="C280" s="3"/>
      <c r="D280" s="49"/>
      <c r="E280" s="3"/>
      <c r="F280" s="10"/>
    </row>
    <row r="281" spans="1:7" ht="18.75" x14ac:dyDescent="0.3">
      <c r="A281" s="3"/>
      <c r="B281" s="4"/>
      <c r="C281" s="3"/>
      <c r="D281" s="49"/>
      <c r="E281" s="3"/>
      <c r="F281" s="10"/>
    </row>
    <row r="282" spans="1:7" ht="18.75" x14ac:dyDescent="0.3">
      <c r="A282" s="3"/>
      <c r="B282" s="4"/>
      <c r="C282" s="3"/>
      <c r="D282" s="49"/>
      <c r="E282" s="3"/>
      <c r="F282" s="10"/>
      <c r="G282" s="10"/>
    </row>
    <row r="283" spans="1:7" ht="18.75" x14ac:dyDescent="0.3">
      <c r="A283" s="3"/>
      <c r="B283" s="4"/>
      <c r="C283" s="3"/>
      <c r="D283" s="49"/>
      <c r="E283" s="3"/>
      <c r="F283" s="10"/>
    </row>
    <row r="284" spans="1:7" ht="18.75" x14ac:dyDescent="0.3">
      <c r="A284" s="3"/>
      <c r="B284" s="4"/>
      <c r="C284" s="3"/>
      <c r="D284" s="49"/>
      <c r="E284" s="37"/>
    </row>
    <row r="285" spans="1:7" ht="18.75" x14ac:dyDescent="0.3">
      <c r="A285" s="3"/>
      <c r="B285" s="4"/>
      <c r="C285" s="3"/>
      <c r="D285" s="49"/>
      <c r="E285" s="37"/>
    </row>
  </sheetData>
  <mergeCells count="2">
    <mergeCell ref="C1:E2"/>
    <mergeCell ref="B70:D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COOLKIDS</vt:lpstr>
      <vt:lpstr>NOMINA</vt:lpstr>
      <vt:lpstr>NORI</vt:lpstr>
      <vt:lpstr>IMPERIUM</vt:lpstr>
      <vt:lpstr>FACTURAS</vt:lpstr>
      <vt:lpstr>FORBEIBI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2026-01-19T13:50:29Z</dcterms:created>
  <dcterms:modified xsi:type="dcterms:W3CDTF">2026-08-18T15:53:07Z</dcterms:modified>
</cp:coreProperties>
</file>